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6.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sauki\xa-bootcamp-batch-283-qa-teknologi\007. Sauki\004. thetestingworld.com\"/>
    </mc:Choice>
  </mc:AlternateContent>
  <xr:revisionPtr revIDLastSave="0" documentId="13_ncr:1_{16FCCD45-550B-4B4E-8796-15A6E99683EB}" xr6:coauthVersionLast="47" xr6:coauthVersionMax="47" xr10:uidLastSave="{00000000-0000-0000-0000-000000000000}"/>
  <bookViews>
    <workbookView xWindow="-108" yWindow="-108" windowWidth="23256" windowHeight="12576" activeTab="1" xr2:uid="{00000000-000D-0000-FFFF-FFFF00000000}"/>
  </bookViews>
  <sheets>
    <sheet name="Dashboard" sheetId="12" r:id="rId1"/>
    <sheet name="Test Case" sheetId="9" r:id="rId2"/>
    <sheet name="MACRO" sheetId="11" state="hidden" r:id="rId3"/>
  </sheets>
  <definedNames>
    <definedName name="_xlnm._FilterDatabase" localSheetId="1" hidden="1">'Test Case'!$A$9:$R$9</definedName>
    <definedName name="cityList">#REF!</definedName>
    <definedName name="list_test_case">'Test Case'!$A$10:$R$85</definedName>
    <definedName name="pageList">TablePage[PAGE]</definedName>
    <definedName name="picList">TablePic[PIC]</definedName>
    <definedName name="priorityList">TablePriority[[PRIORITY ]]</definedName>
    <definedName name="statusList">TableStatus[STATUS]</definedName>
    <definedName name="statusListPivot">Dashboard!#REF!</definedName>
    <definedName name="typeTestList">TableTestType[TYPE TEST]</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C37" i="12" l="1"/>
  <c r="C36" i="12"/>
  <c r="O37" i="12"/>
  <c r="O38" i="12"/>
  <c r="O39" i="12"/>
  <c r="O40" i="12"/>
  <c r="C34" i="12" l="1"/>
  <c r="C35" i="12"/>
  <c r="O34" i="12"/>
  <c r="O35" i="12"/>
  <c r="O36" i="12"/>
  <c r="L34" i="12"/>
  <c r="L35" i="12"/>
  <c r="L36" i="12"/>
  <c r="L37" i="12"/>
  <c r="I35" i="12"/>
  <c r="I36" i="12"/>
  <c r="I37" i="12"/>
  <c r="I34" i="12"/>
  <c r="F34" i="12"/>
  <c r="F35" i="12"/>
  <c r="B89" i="9" l="1" a="1"/>
  <c r="B89" i="9" s="1"/>
  <c r="C89" i="9" l="1"/>
  <c r="B90" i="9"/>
  <c r="C90" i="9"/>
  <c r="B91" i="9"/>
  <c r="C91" i="9"/>
  <c r="B92" i="9"/>
  <c r="C92" i="9"/>
  <c r="C93" i="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Ade Aditya</author>
  </authors>
  <commentList>
    <comment ref="N9" authorId="0" shapeId="0" xr:uid="{8082CA05-A8C7-074A-A9D5-3ABC8879D8E9}">
      <text>
        <r>
          <rPr>
            <b/>
            <sz val="10"/>
            <color rgb="FF000000"/>
            <rFont val="Tahoma"/>
            <family val="2"/>
          </rPr>
          <t>Ade Aditya:</t>
        </r>
        <r>
          <rPr>
            <sz val="10"/>
            <color rgb="FF000000"/>
            <rFont val="Tahoma"/>
            <family val="2"/>
          </rPr>
          <t xml:space="preserve">
</t>
        </r>
        <r>
          <rPr>
            <sz val="10"/>
            <color rgb="FF000000"/>
            <rFont val="Tahoma"/>
            <family val="2"/>
          </rPr>
          <t>PIC adalah programmer yang di assign terhadap fungsi tersebut</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<sst xmlns="http://schemas.openxmlformats.org/spreadsheetml/2006/main" count="1045" uniqueCount="348">
  <si>
    <t>NO.</t>
  </si>
  <si>
    <t>FUNGTION</t>
  </si>
  <si>
    <t>TEST STEPS</t>
  </si>
  <si>
    <t>EXPECTED RESULT</t>
  </si>
  <si>
    <t>ACTUAL RESULT</t>
  </si>
  <si>
    <t>TEST TYPE</t>
  </si>
  <si>
    <t>STATUS</t>
  </si>
  <si>
    <t>NOTES</t>
  </si>
  <si>
    <t>Positive</t>
  </si>
  <si>
    <t>Adit</t>
  </si>
  <si>
    <t>Status</t>
  </si>
  <si>
    <t>PIC</t>
  </si>
  <si>
    <t>Negative</t>
  </si>
  <si>
    <t>botton Add Test Case</t>
  </si>
  <si>
    <t>Sub ButtonAddTestCase_Click()
Dim ws As Worksheet
Set ws = ActiveSheet
Dim tbl As ListObject
Set tbl = ws.ListObjects("Table_test_case")
Dim newrow As ListRow
Set newrow = tbl.ListRows.Add
With newrow
    .Range(1) = tbl.ListRows.Count
    .Range(5) = "Not Exec."
    .Range(14) = Date
End With
End Sub</t>
  </si>
  <si>
    <t>DESCRIPTION</t>
  </si>
  <si>
    <t>PREREQUISITES</t>
  </si>
  <si>
    <t>CREATED
BY</t>
  </si>
  <si>
    <t>CREATED
ON</t>
  </si>
  <si>
    <t>EXECUTED
ON</t>
  </si>
  <si>
    <t>Not Ready</t>
  </si>
  <si>
    <t>TEST
CASE
ID</t>
  </si>
  <si>
    <t>Total</t>
  </si>
  <si>
    <t>Passed</t>
  </si>
  <si>
    <t>Failed</t>
  </si>
  <si>
    <t>Not Executed</t>
  </si>
  <si>
    <t>PRIORITY</t>
  </si>
  <si>
    <t xml:space="preserve">PRIORITY </t>
  </si>
  <si>
    <t>Urgent</t>
  </si>
  <si>
    <t>High</t>
  </si>
  <si>
    <t>Medium</t>
  </si>
  <si>
    <t>Low</t>
  </si>
  <si>
    <t>TYPE TEST</t>
  </si>
  <si>
    <t>PAGE</t>
  </si>
  <si>
    <t>TOTAL</t>
  </si>
  <si>
    <t xml:space="preserve"> </t>
  </si>
  <si>
    <t>Ardhi</t>
  </si>
  <si>
    <t>Antok</t>
  </si>
  <si>
    <t>Lathifah</t>
  </si>
  <si>
    <t>Priscilia</t>
  </si>
  <si>
    <t>Rizka</t>
  </si>
  <si>
    <t>Sauki</t>
  </si>
  <si>
    <t>TC110001</t>
  </si>
  <si>
    <t xml:space="preserve">1. Mozilla Firefox,
2. URL sesuai detail diatas,
</t>
  </si>
  <si>
    <t>1. Buka browser google chrome,
2. Masukkan url sesuai detail diatas</t>
  </si>
  <si>
    <t>Masuk kehalaman thetestingworld.com</t>
  </si>
  <si>
    <t>Berhasil masuk kehalaman thetestingworld.com</t>
  </si>
  <si>
    <t>Akses halaman home</t>
  </si>
  <si>
    <t>1.1. Home</t>
  </si>
  <si>
    <t>1.2. Register</t>
  </si>
  <si>
    <t>1.3. Login</t>
  </si>
  <si>
    <t>TC120001</t>
  </si>
  <si>
    <t>1. Berhasil membuat user baru</t>
  </si>
  <si>
    <t>TC120002</t>
  </si>
  <si>
    <t>1. TC110001,
2. Data user baru
    a. Username       : xa283262
    b. Email              : xa283262@gmail.com
    b. Password        : batch283!!
    c. Re-password   : batch283!!
    d. Dob                : 1/1/2020
    e. Phone             : 012345678
    f. Address           : Jl. H. Abdul Majid No.6 
    g. Address Type  : Home
    h. Gender            : Male
    i. Country            : Indonesia
    j. State                : Jakarta
    k. City                 : Jakarta
    l. Zip Code          : 12410</t>
  </si>
  <si>
    <t>TC120003</t>
  </si>
  <si>
    <t>1. TC110001,
2. Masukkan username,
3. Klik tombol "Sign Up"</t>
  </si>
  <si>
    <t>1. TC110001,
2. Masukkan username,
3. Masukkan email,
4. Masukkan password,
5. Masukkan re-password,
6. Masukkan dob,
7. Masukkan phone,
8. Masukkan address,
9. Ceklis address type,
10. Pilih "Gender",
11. Pilih "Country",
12. Pilih "State",
13. Pilih "City",
14. Masukkan zip code,
15. Klik tombol "Sign Up"</t>
  </si>
  <si>
    <t>Daftar user baru dimana address type "home" dengan field
1. Username,
2. Email,
3. Password,
4. Re-Password,
5. Dob,
6. Phone,
7. Address,
8. Address type,
9. Gender,
10. Country,
11. State,
12. City,
13. Zip Code</t>
  </si>
  <si>
    <t>Daftar user baru dimana address type "office" dengan field
1. Username,
2. Email,
3. Password,
4. Re-Password,
5. Dob,
6. Phone,
7. Address,
8. Address type,
9. Gender,
10. Country,
11. State,
12. City,
13. Zip Code</t>
  </si>
  <si>
    <t>Daftar user baru dimana hanya mengisi username dengan field
1. Username</t>
  </si>
  <si>
    <t>1. TC110001,
2. Data user baru
    a. Username       : xa283263</t>
  </si>
  <si>
    <t>1. Tidak berhasil membuat user baru</t>
  </si>
  <si>
    <t>1. Tidak berhasi membuat user baru</t>
  </si>
  <si>
    <t>TC120004</t>
  </si>
  <si>
    <t>Daftar user baru dimana hanya mengisi password dengan field
1. Password</t>
  </si>
  <si>
    <t>1. TC110001,
2. Data user baru
    a. Password       : batch283!!</t>
  </si>
  <si>
    <t>1. TC110001,
2. Masukkan password,
3. Klik tombol "Sign Up"</t>
  </si>
  <si>
    <t>TC120005</t>
  </si>
  <si>
    <t>Daftar user baru dimana hanya mengisi re-password dengan field
1. Re-password</t>
  </si>
  <si>
    <t>1. TC110001,
2. Data user baru
    a. Re-password       : batch283!!</t>
  </si>
  <si>
    <t>1. TC110001,
2. Masukkan re-password,
3. Klik tombol "Sign Up"</t>
  </si>
  <si>
    <t>TC120006</t>
  </si>
  <si>
    <t>Daftar user baru dimana hanya mengisi dob dengan field
1. Dob</t>
  </si>
  <si>
    <t>1. TC110001,
2. Data user baru
    a. Dob       : 1/1/2020</t>
  </si>
  <si>
    <t>1. TC110001,
2. Masukkan dob,
3. Klik tombol "Sign Up"</t>
  </si>
  <si>
    <t>TC120007</t>
  </si>
  <si>
    <t>1. TC110001,
2. Data user baru
    a. Phone       : 012345678</t>
  </si>
  <si>
    <t>1. TC110001,
2. Masukkan phone,
3. Klik tombol "Sign Up"</t>
  </si>
  <si>
    <t>TC120008</t>
  </si>
  <si>
    <t>Daftar user baru dimana hanya mengisi phone dengan field
1. Phone</t>
  </si>
  <si>
    <t>Daftar user baru dimana hanya mengisi address dengan field
1. Address</t>
  </si>
  <si>
    <t>1. TC110001,
2. Data user baru
    a. Address       : Jl. H. Abdul Majid No.6</t>
  </si>
  <si>
    <t>1. TC110001,
2. Masukkan address,
3. Klik tombol "Sign Up"</t>
  </si>
  <si>
    <t>TC120009</t>
  </si>
  <si>
    <t>Daftar user baru dimana hanya mengisi address type dengan field
1. Address type</t>
  </si>
  <si>
    <t>1. TC110001,
2. Data user baru
    a. Address type      : Home</t>
  </si>
  <si>
    <t>1. TC110001,
2. Ceklis address type,
3. Klik tombol "Sign Up"</t>
  </si>
  <si>
    <t>TC120010</t>
  </si>
  <si>
    <t>1. TC110001,
2. Data user baru
    a. Gender      : Male</t>
  </si>
  <si>
    <t>1. TC110001,
2. Memilih gender "male",
3. Klik tombol "Sign Up"</t>
  </si>
  <si>
    <t>TC120011</t>
  </si>
  <si>
    <t>Daftar user baru dimana hanya memilih gender dengan field
1. Choose Gender</t>
  </si>
  <si>
    <t>Daftar user baru dimana hanya memilih country dengan field
1. Select Country</t>
  </si>
  <si>
    <t>1. TC110001,
2. Data user baru
    a. Country      : Indonesia</t>
  </si>
  <si>
    <t>1. TC110001,
2. Memilih country "indonesia",
3. Klik tombol "Sign Up"</t>
  </si>
  <si>
    <t>EXECUTED BY</t>
  </si>
  <si>
    <t>TC120012</t>
  </si>
  <si>
    <t>Daftar user baru dimana hanya mengisi zip code dengan field
1. Zip Code</t>
  </si>
  <si>
    <t>1. TC110001,
2. Data user baru
    a. Zip Code      : 12410</t>
  </si>
  <si>
    <t>1. TC110001,
2. Masukkan zip code,
3. Klik tombol "Sign Up"</t>
  </si>
  <si>
    <t>TC120013</t>
  </si>
  <si>
    <t>Daftar user baru dimana hanya mengisi username dan email dengan field
1. Username,
2. Email</t>
  </si>
  <si>
    <t>1. TC110001,
2. Data user baru
    a. Username      : xa283264
    b. Email             : xa283264@gmail.com</t>
  </si>
  <si>
    <t>1. TC110001,
2. Masukkan username,
3. Masukkan email,
3. Klik tombol "Sign Up"</t>
  </si>
  <si>
    <t>TC120014</t>
  </si>
  <si>
    <t>Daftar user baru dimana hanya mengisi username dan password dengan field
1. Username,
2. Password</t>
  </si>
  <si>
    <t>1. TC110001,
2. Masukkan username,
3. Masukkan password,
3. Klik tombol "Sign Up"</t>
  </si>
  <si>
    <t>1. TC110001,
2. Data user baru
    a. Username        : xa283265
    b. Password        : batch283!!</t>
  </si>
  <si>
    <t>TC120015</t>
  </si>
  <si>
    <t>Daftar user baru dimana hanya mengisi username dan re-password dengan field
1. Username,
2. Re-password</t>
  </si>
  <si>
    <t>1. TC110001,
2. Data user baru
    a. Username        : xa283266
    b. Re-password    : batch283!!</t>
  </si>
  <si>
    <t>1. TC110001,
2. Masukkan username,
3. Masukkan re-password,
3. Klik tombol "Sign Up"</t>
  </si>
  <si>
    <t>TC120016</t>
  </si>
  <si>
    <t>Daftar user baru dimana hanya mengisi username dan dob dengan field
1. Username,
2. Dob</t>
  </si>
  <si>
    <t>1. TC110001,
2. Masukkan username,
3. Masukkan dob,
3. Klik tombol "Sign Up"</t>
  </si>
  <si>
    <t>1. TC110001,
2. Data user baru
    a. Username        : xa283267
    b. Dob                 : 1/1/2020</t>
  </si>
  <si>
    <t>TC120017</t>
  </si>
  <si>
    <t>Daftar user baru dimana hanya mengisi username dan phone dengan field
1. Username,
2. Phone</t>
  </si>
  <si>
    <t>1. TC110001,
2. Masukkan username,
3. Masukkan phone,
3. Klik tombol "Sign Up"</t>
  </si>
  <si>
    <t>1. TC110001,
2. Data user baru
    a. Username        : xa283268
    b. Phone              : 012345678</t>
  </si>
  <si>
    <t>TC120018</t>
  </si>
  <si>
    <t>Daftar user baru dimana hanya mengisi username dan address dengan field
1. Username,
2. Address</t>
  </si>
  <si>
    <t>1. TC110001,
2. Masukkan username,
3. Masukkan address,
3. Klik tombol "Sign Up"</t>
  </si>
  <si>
    <t>TC120019</t>
  </si>
  <si>
    <t>Daftar user baru dimana hanya mengisi username dan address type dengan field
1. Username,
2. Address type</t>
  </si>
  <si>
    <t>1. TC110001,
2. Masukkan username,
3. Ceklis address type,
3. Klik tombol "Sign Up"</t>
  </si>
  <si>
    <t>1. TC110001,
2. Data user baru
    a. Username        : xa283269
    b. Address           : JL. H. Abdul Majid No.6</t>
  </si>
  <si>
    <t>1. TC110001,
2. Data user baru
    a. Username        : xa283269
    b. Address type    : Home</t>
  </si>
  <si>
    <t>TC120020</t>
  </si>
  <si>
    <t>Daftar user baru dimana hanya mengisi username dan gender dengan field 
1. Username,
2. Choose Gender</t>
  </si>
  <si>
    <t>1. TC110001,
2. Masukkan username,
3. Pilih gender,
3. Klik tombol "Sign Up"</t>
  </si>
  <si>
    <t>TC120021</t>
  </si>
  <si>
    <t>Daftar user baru dimana hanya mengisi username dan country dengan field
1. Username,
2. Select Country</t>
  </si>
  <si>
    <t>1. TC110001,
2. Masukkan username,
3. Pilih country,
3. Klik tombol "Sign Up"</t>
  </si>
  <si>
    <t>TC120022</t>
  </si>
  <si>
    <t>Daftar user baru dimana hanya mengisi username dan zipcode dengan field
1. Username,
2. Zip Code</t>
  </si>
  <si>
    <t>1. TC110001,
2. Masukkan username,
3. Masukkan zip code,
3. Klik tombol "Sign Up"</t>
  </si>
  <si>
    <t>TC120023</t>
  </si>
  <si>
    <t>Daftar user baru dimana hanya mengisi email dan password dengan field
1. Email,
2. Password</t>
  </si>
  <si>
    <t>1. TC110001,
2. Masukkan email,
3. Masukkan password,
3. Klik tombol "Sign Up"</t>
  </si>
  <si>
    <t>TC120024</t>
  </si>
  <si>
    <t>Daftar user baru dimana hanya mengisi email dan re-password dengan field
1. Email,
2. Re-password</t>
  </si>
  <si>
    <t>TC120025</t>
  </si>
  <si>
    <t>Daftar user baru dengan field
1. Username,
2. Email,
3. Password,
4. Re-password,
5. Choose Gender</t>
  </si>
  <si>
    <t>TC120026</t>
  </si>
  <si>
    <t>TC120027</t>
  </si>
  <si>
    <t>Daftar user baru dengan field
1. Username,
2. Email,
3. Password,
4. Re-password,
5. Dob,
6. Choose Gender</t>
  </si>
  <si>
    <t xml:space="preserve">Daftar user baru dengan field
1. Username,
2. Email, 
3. Password,
4. Re-password,
5. Phone,
6. Choose Gender
</t>
  </si>
  <si>
    <t>TC120028</t>
  </si>
  <si>
    <t>Daftar user baru dengan field
1. Username,
2. Email,
3. Password,
4. Re-password,
5. Address,
6. Choose Gender</t>
  </si>
  <si>
    <t>TC120029</t>
  </si>
  <si>
    <t>Daftar user baru dengan field
1. Username,
2. Email,
3. Password,
4. Re-password,
5. Address type,
6. Choose Gender</t>
  </si>
  <si>
    <t>TC120030</t>
  </si>
  <si>
    <t>Daftar user baru dengan field
1. Username,
2. Email,
3. Password,
4. Re-password,
5. Choose Gender,
6. Select Country</t>
  </si>
  <si>
    <t>1. TC110001,
2. Masukkan username,
3. Masukkan email,
4. Masukkan password,
5. Masukkan re-password,
6. Masukkan Address type,
7. Pilih gender,
8. Klik tombol "Sign Up"</t>
  </si>
  <si>
    <t>1. TC110001,
2. Masukkan username,
3. Masukkan email,
4. Masukkan password,
5. Masukkan re-password,
6. Masukkan Address,
7. Pilih gender,
8. Klik tombol "Sign Up"</t>
  </si>
  <si>
    <t>1. TC110001,
2. Masukkan username,
3. Masukkan email,
4. Masukkan password,
5. Masukkan re-password,
6. Masukkan phone,
7. Pilih gender,
8. Klik tombol "Sign Up"</t>
  </si>
  <si>
    <t>1. TC110001,
2. Masukkan username,
3. Masukkan email,
4. Masukkan password,
5. Masukkan re-password,
6. Masukkan dob,
7. Piilih gender,
8. Klik tombol "Sign Up"</t>
  </si>
  <si>
    <t>1. TC110001,
2. Masukkan username,
3. Masukkan email,
4. Masukkan password,
5. Masukkan re-password,
6. Pilih gender,
7. Klik tombol "Sign Up"</t>
  </si>
  <si>
    <t>1. TC110001,
2. Masukkan username,
3. Masukkan email,
4. Masukkan password,
5. Masukkan re-password,
6. Masukkan Address type,
7. Pilih gender,
8. Pilih country,
9. Klik tombol "Sign Up"</t>
  </si>
  <si>
    <t>TC120031</t>
  </si>
  <si>
    <t>Daftar user baru dengan field
1. Username,
2. Email,
3. Password,
4. Re-password,
5. Choose Gender,
6. Zip Code</t>
  </si>
  <si>
    <t>1. TC110001,
2. Masukkan username,
3. Masukkan email,
4. Masukkan password,
5. Masukkan re-password,
6. Masukkan Address type,
7. Pilih gender,
8. Masukkan zip code,
9. Klik tombol "Sign Up"</t>
  </si>
  <si>
    <t>TC120032</t>
  </si>
  <si>
    <t>1. TC110001,
2. Masukkan username,
3. Masukkan email,
4. Masukkan password,
5. Masukkan re-password,
6. Masukkan dob,
7. Masukkan phone,
8. Pilih gender,
9. Klik tombol "Sign Up"</t>
  </si>
  <si>
    <t>TC120033</t>
  </si>
  <si>
    <t>1. TC110001,
2. Data user baru
    a. Username        : xa283270
    b. Gender              : Male</t>
  </si>
  <si>
    <t>1. TC110001,
2. Data user baru
    a. Username        : xa283271
    b. Country              : Indonesia</t>
  </si>
  <si>
    <t>1. TC110001,
2. Data user baru
    a. Username        : xa283272
    b. Zip code            : 12410</t>
  </si>
  <si>
    <t>1. TC110001,
2. Data user baru
    a. Email               : xa283273@gmail.com 
    b. Password       : batch283!!</t>
  </si>
  <si>
    <t>1. TC110001,
2. Data user baru
    a. Email                     : xa283274@gmail.com 
    b. Re-password       : batch283!!</t>
  </si>
  <si>
    <t>1. TC110001,
2. Data user baru
    a. Username           : xa283275
    b. Email                    : xa283275@gmail.com
    c. Password            : batch283!!
    d. Re-password      : batch283!!
    e. Gender                 : Male</t>
  </si>
  <si>
    <t>1. TC110001,
2. Data user baru
    a. Username           : xa283276
    b. Email                    : xa283276@gmail.com
    c. Password            : batch283!!
    d. Re-password     : batch283!!
    e. Dob                      : 1/1/2020
    f. Gender                 : Male</t>
  </si>
  <si>
    <t>1. TC110001,
2. Data user baru
    a. Username           : xa283277
    b. Email                    : xa283277@gmail.com
    c. Password            : batch283!!
    d. Re-password     : batch283!!
    e. Phone                  : 012345678
    f. Gender                 : Male</t>
  </si>
  <si>
    <t>1. TC110001,
2. Data user baru
    a. Username           : xa283278
    b. Email                    : xa283278@gmail.com
    c. Password            : batch283!!
    d. Re-password     : batch283!!
    e. Address               : Jln. H. Abdul Majid No.6
    f. Gender                  : Male</t>
  </si>
  <si>
    <t>1. TC110001,
2. Data user baru
    a. Username           : xa283279
    b. Email                    : xa283279@gmail.com
    c. Password            : batch283!!
    d. Re-password      : batch283!!
    e. Address type       : Home
    f. Gender                  : Male</t>
  </si>
  <si>
    <t>1. TC110001,
2. Data user baru
    a. Username           : xa283280
    b. Email                    : xa283280@gmail.com
    c. Password            : batch283!!
    d. Re-password     : batch283!!
    e. Gender                : Male
    f. Country                 : Indonesia</t>
  </si>
  <si>
    <t>1. TC110001,
2. Data user baru
    a. Username           : xa283281
    b. Email                    : xa283281@gmail.com
    c. Password            : batch283!!
    d. Re-password      : batch283!!
    e. Gender                 : Male
    f. Zip code                : 12410</t>
  </si>
  <si>
    <t>1. TC110001,
2. Data user baru
    a. Username           : xa283282
    b. Email                    : xa283282@gmail.com
    c. Password            : batch283!!
    d. Re-password      : batch283!!
    e. Dob                       : 1/1/2020
    f. Phone                    : 012345678
    g. Gender                 : Male</t>
  </si>
  <si>
    <t xml:space="preserve">Daftar user baru dengan field
1. Username,
2. Email,
3. Password,
4. Re-password,
5. Dob,
6. Phone
7. Choose Gender
</t>
  </si>
  <si>
    <t>Daftar user baru dengan field
1. Username,
2. Email,
3. Password,
4. Re-password,
5. Dob,
6. Address,
7.Choose Gender</t>
  </si>
  <si>
    <t>1. TC110001,
2. Masukkan username,
3. Masukkan email,
4. Masukkan password,
5. Masukkan re-password,
6. Masukkan dob,
7. Masukkan address,
8. Pilih gender,
9. Klik tombol "Sign Up"</t>
  </si>
  <si>
    <t>1. TC110001,
2. Data user baru
    a. Username           : xa283283
    b. Email                    : xa283283@gmail.com
    c. Password            : batch283!!
    d. Re-password      : batch283!!
    e. Dob                       : 1/1/2020
    f. Address                 : Jl. H. Abdul Majid No.6
    g. Gender                 : Male</t>
  </si>
  <si>
    <t>TC120034</t>
  </si>
  <si>
    <t>Daftar user baru dengan field
1. Username,
2. Email,
3. Password,
4. Re-password,
5. Dob,
6. Address type,
7. Choose Gender</t>
  </si>
  <si>
    <t>1. TC110001,
2. Data user baru
    a. Username           : xa283284
    b. Email                    : xa283284@gmail.com
    c. Password            : batch283!!
    d. Re-password      : batch283!!
    e. Dob                       : 1/1/2020
    f. Address type        : Home
    g. Gender                 : Male</t>
  </si>
  <si>
    <t>1. TC110001,
2. Masukkan username,
3. Masukkan email,
4. Masukkan password,
5. Masukkan re-password,
6. Masukkan dob,
7. Masukkan address type,
8. Pilih gender,
9. Klik tombol "Sign Up"</t>
  </si>
  <si>
    <t>1. TC110001,
2. Masukkan username,
3. Masukkan email,
4. Masukkan password,
5. Masukkan re-password,
6. Masukkan dob,
7. Pilih gender,
8. Pilih Country,
9. Klik tombol "Sign Up"</t>
  </si>
  <si>
    <t>1. TC110001,
2. Data user baru
    a. Username           : xa283285
    b. Email                    : xa283285@gmail.com
    c. Password            : batch283!!
    d. Re-password      : batch283!!
    e. Dob                       : 1/1/2020
    f. Gender                  : Male
   g. Country                 : Indonesia</t>
  </si>
  <si>
    <t>TC120035</t>
  </si>
  <si>
    <t>TC120036</t>
  </si>
  <si>
    <t>Daftar user baru dengan field
1. Username,
2. Email,
3. Password,
4. Re-password,
5. Dob,
6. Choose Gender
7. Select Country</t>
  </si>
  <si>
    <t>Daftar user baru dengan field
1. Username,
2. Email,
3. Password,
4. Re-password,
5. Dob,
6. Choose Gender
7. Masukkan Zip code</t>
  </si>
  <si>
    <t>1. TC110001,
2. Masukkan username,
3. Masukkan email,
4. Masukkan password,
5. Masukkan re-password,
6. Masukkan dob,
7. Pilih gender,
8. Masukkan zip code,
9. Klik tombol "Sign Up"</t>
  </si>
  <si>
    <t>1. TC110001,
2. Data user baru
    a. Username           : xa283286
    b. Email                    : xa283286@gmail.com
    c. Password            : batch283!!
    d. Re-password      : batch283!!
    e. Dob                       : 1/1/2020
    f. Gender                  : Male
   g. Zip code                : 12410</t>
  </si>
  <si>
    <t>TC120037</t>
  </si>
  <si>
    <t>Daftar user baru dengan field
1. Username,
2. Email,
3. Password,
4. Re-password,
5. Dob,
6. Phone,
7. Address,
8.Choose Gender</t>
  </si>
  <si>
    <t>1. TC110001,
2. Masukkan username,
3. Masukkan email,
4. Masukkan password,
5. Masukkan re-password,
6. Masukkan dob,
7. Masukkan phone,
8. Masukkan address,
9. Pilih gender,
10. Klik tombol "Sign Up"</t>
  </si>
  <si>
    <t>TC120038</t>
  </si>
  <si>
    <t>Daftar user baru dengan field
1. Username,
2. Email,
3. Password,
4. Re-password,
5. Dob,
6. Phone,
7. Address type,
8.Choose Gender</t>
  </si>
  <si>
    <t>1. TC110001,
2. Masukkan username,
3. Masukkan email,
4. Masukkan password,
5. Masukkan re-password,
6. Masukkan dob,
7. Masukkan phone,
8. Masukkan address type,
9. Pilih gender,
10. Klik tombol "Sign Up"</t>
  </si>
  <si>
    <t>1. TC110001,
2. Data user baru
    a. Username           : xa283287
    b. Email                    : xa283287@gmail.com
    c. Password            : batch283!!
    d. Re-password      : batch283!!
    e. Dob                       : 1/1/2020
     f. Phone                   : 012345678
    g. Address                : H. Abdul Majid No.6
    h. Gender                 : Male</t>
  </si>
  <si>
    <t>1. TC110001,
2. Data user baru
    a. Username           : xa283288
    b. Email                    : xa283288@gmail.com
    c. Password            : batch283!!
    d. Re-password      : batch283!!
    e. Dob                       : 1/1/2020
     f. Phone                   : 012345678
    g. Address type       : Home
    h. Gender                 : Male</t>
  </si>
  <si>
    <t>TC120039</t>
  </si>
  <si>
    <t>Daftar user baru dengan field
1. Username,
2. Email,
3. Password,
4. Re-password,
5. Dob,
6. Phone,
7. Choose Gender,
8. Select Country</t>
  </si>
  <si>
    <t>1. TC110001,
2. Masukkan username,
3. Masukkan email,
4. Masukkan password,
5. Masukkan re-password,
6. Masukkan dob,
7. Masukkan phone,
8. Pilih gender,
9. Pilih Country
10. Klik tombol "Sign Up"</t>
  </si>
  <si>
    <t>1. TC110001,
2. Data user baru
    a. Username           : xa283289
    b. Email                    : xa283289@gmail.com
    c. Password            : batch283!!
    d. Re-password      : batch283!!
    e. Dob                       : 1/1/2020
     f. Phone                   : 012345678
    g. Gender                 : Male
    h. Country                : Indonesia</t>
  </si>
  <si>
    <t>TC120040</t>
  </si>
  <si>
    <t>Daftar user baru dengan field
1. Username,
2. Email,
3. Password,
4. Re-password,
5. Dob,
6. Phone,
7. Choose Gender,
8. Masukkan Zip Code</t>
  </si>
  <si>
    <t>1. TC110001,
2. Masukkan username,
3. Masukkan email,
4. Masukkan password,
5. Masukkan re-password,
6. Masukkan dob,
7. Masukkan phone,
8. Pilih gender,
9. Masukkan zip code
10. Klik tombol "Sign Up"</t>
  </si>
  <si>
    <t>1. TC110001,
2. Data user baru
    a. Username           : xa283290
    b. Email                    : xa283290@gmail.com
    c. Password            : batch283!!
    d. Re-password      : batch283!!
    e. Dob                       : 1/1/2020
     f. Phone                   : 012345678
    g. Gender                 : Male
    h. Zip Code              : 12410</t>
  </si>
  <si>
    <t>TC120041</t>
  </si>
  <si>
    <t>Daftar user baru dengan field
1. Username,
2. Email,
3. Password,
4. Re-password,
5. Dob,
6. Phone,
7. Address,
8. Address type,
9. Choose Gender</t>
  </si>
  <si>
    <t>1. TC110001,
2. Data user baru
    a. Username           : xa283291
    b. Email                    : xa283291@gmail.com
    c. Password            : batch283!!
    d. Re-password      : batch283!!
    e. Dob                       : 1/1/2020
     f. Phone                   : 012345678
    g. Address               : Jl. H. Abdul Majid No.6
    h. Address type       : Home
    i. Gender                  : Male</t>
  </si>
  <si>
    <t>1. TC110001,
2. Masukkan username,
3. Masukkan email,
4. Masukkan password,
5. Masukkan re-password,
6. Masukkan dob,
7. Masukkan phone,
8. Masukkan Address,
9. Masukkan Address type,
10. Pilih gender
11. Klik tombol "Sign Up"</t>
  </si>
  <si>
    <t>TC120042</t>
  </si>
  <si>
    <t>Daftar user baru dengan field
1. Username,
2. Email,
3. Password,
4. Re-password,
5. Dob,
6. Phone,
7. Address,
8. Choose Gender,
9. Select Country</t>
  </si>
  <si>
    <t>1. TC110001,
2. Masukkan username,
3. Masukkan email,
4. Masukkan password,
5. Masukkan re-password,
6. Masukkan dob,
7. Masukkan phone,
8. Masukkan Address,
9. Pilih gender,
10. Pilih Country,
11. Klik tombol "Sign Up"</t>
  </si>
  <si>
    <t>1. TC110001,
2. Data user baru
    a. Username           : xa283292
    b. Email                    : xa283292@gmail.com
    c. Password            : batch283!!
    d. Re-password      : batch283!!
    e. Dob                       : 1/1/2020
     f. Phone                   : 012345678
    g. Address               : Jl. H. Abdul Majid No.6
    h. Gender                 : Male
     i. Country                 : Indonesia</t>
  </si>
  <si>
    <t>TC120043</t>
  </si>
  <si>
    <t>1. TC110001,
2. Masukkan username,
3. Masukkan email,
4. Masukkan password,
5. Masukkan re-password,
6. Masukkan dob,
7. Masukkan phone,
8. Masukkan Address,
9. Pilih gender,
10. Masukkan zip code,
11. Klik tombol "Sign Up"</t>
  </si>
  <si>
    <t>1. TC110001,
2. Data user baru
    a. Username           : xa283293
    b. Email                    : xa283293@gmail.com
    c. Password            : batch283!!
    d. Re-password      : batch283!!
    e. Dob                       : 1/1/2020
     f. Phone                   : 012345678
    g. Address               : Jl. H. Abdul Majid No.6
    h. Gender                 : Male
     i. Zip Code               : 12410</t>
  </si>
  <si>
    <t>TC120044</t>
  </si>
  <si>
    <t>Daftar user baru dengan field
1. Username,
2. Email,
3. Password,
4. Re-password,
5. Dob,
6. Phone,
7. Address,
8. Choose Gender,
9. Zip Code</t>
  </si>
  <si>
    <t>Daftar user baru dengan field
1. Username,
2. Email,
3. Password,
4. Re-password,
5. Dob,
6. Phone,
7. Address,
8. Address type,
9. Choose Gender,
10. Country</t>
  </si>
  <si>
    <t>1. TC110001,
2. Masukkan username,
3. Masukkan email,
4. Masukkan password,
5. Masukkan re-password,
6. Masukkan dob,
7. Masukkan phone,
8. Masukkan Address,
9. Ceklis Address type,
10. Pilih gender,
11. Pilih country,
12. Klik tombol "Sign Up"</t>
  </si>
  <si>
    <t>1. TC110001,
2. Data user baru
    a. Username           : xa283294
    b. Email                    : xa283294@gmail.com
    c. Password            : batch283!!
    d. Re-password      : batch283!!
    e. Dob                       : 1/1/2020
     f. Phone                   : 012345678
    g. Address               : Jl. H. Abdul Majid No.6
    h. Address type       : Home
    i. Gender                  : Male
    j. Country                  : Indonesia</t>
  </si>
  <si>
    <t>TC120045</t>
  </si>
  <si>
    <t>Daftar user baru dengan field
1. Username,
2. Email,
3. Password,
4. Re-password,
5. Dob,
6. Phone,
7. Address,
8. Address type,
9. Choose Gender,
10. Zip Code</t>
  </si>
  <si>
    <t>1. TC110001,
2. Masukkan username,
3. Masukkan email,
4. Masukkan password,
5. Masukkan re-password,
6. Masukkan dob,
7. Masukkan phone,
8. Masukkan Address,
9. Ceklis Address type,
10. Pilih gender,
11. Masukkan zip code,
12. Klik tombol "Sign Up"</t>
  </si>
  <si>
    <t>1. TC110001,
2. Data user baru
    a. Username           : xa283295
    b. Email                    : xa283295@gmail.com
    c. Password            : batch283!!
    d. Re-password      : batch283!!
    e. Dob                       : 1/1/2020
     f. Phone                   : 012345678
    g. Address               : Jl. H. Abdul Majid No.6
    h. Address type       : Home
    i. Gender                  : Male
   j. Zip Code                : 12410</t>
  </si>
  <si>
    <t>TC120046</t>
  </si>
  <si>
    <t>Daftar user baru dengan field
1. Username,
2. Email,
3. Password,
4. Re-password,
5. Dob,
6. Phone,
7. Address,
8. Address type,
9. Choose Gender,
10. Country,
11. State</t>
  </si>
  <si>
    <t>1. TC110001,
2. Masukkan username,
3. Masukkan email,
4. Masukkan password,
5. Masukkan re-password,
6. Masukkan dob,
7. Masukkan phone,
8. Masukkan Address,
9. Ceklis Address type,
10. Pilih gender,
11. Pilih Country,
12. Pilih State
13. Klik tombol "Sign Up"</t>
  </si>
  <si>
    <t>1. TC110001,
2. Data user baru
    a. Username           : xa283296
    b. Email                    : xa283296@gmail.com
    c. Password            : batch283!!
    d. Re-password      : batch283!!
    e. Dob                       : 1/1/2020
     f. Phone                   : 012345678
    g. Address               : Jl. H. Abdul Majid No.6
    h. Address type       : Home
    i. Gender                  : Male
    j. Country                  : Indonesia
   k. State                       : Jakarta</t>
  </si>
  <si>
    <t>TC120047</t>
  </si>
  <si>
    <t>Daftar user baru dengan field
1. Username,
2. Email,
3. Password,
4. Re-password,
5. Dob,
6. Phone,
7. Address,
8. Address type,
9. Choose Gender,
10. Country,
11. Zip code</t>
  </si>
  <si>
    <t>1. TC110001,
2. Masukkan username,
3. Masukkan email,
4. Masukkan password,
5. Masukkan re-password,
6. Masukkan dob,
7. Masukkan phone,
8. Masukkan Address,
9. Ceklis Address type,
10. Pilih gender,
11. Pilih Country,
12. Masukkan zip code,
13. Klik tombol "Sign Up"</t>
  </si>
  <si>
    <t>1. TC110001,
2. Data user baru
    a. Username           : xa283297
    b. Email                    : xa283297@gmail.com
    c. Password            : batch283!!
    d. Re-password      : batch283!!
    e. Dob                       : 1/1/2020
     f. Phone                   : 012345678
    g. Address               : Jl. H. Abdul Majid No.6
    h. Address type       : Home
    i. Gender                  : Male
    j. Country                  : Indonesia
    k. Zip Code              : 12410</t>
  </si>
  <si>
    <t>TC120048</t>
  </si>
  <si>
    <t>Daftar user baru dengan field
1. Username,
2. Email,
3. Password,
4. Re-password,
5. Dob,
6. Phone,
7. Address,
8. Address type,
9. Choose Gender,
10. Country,
11. State,
12. City</t>
  </si>
  <si>
    <t>1. TC110001,
2. Masukkan username,
3. Masukkan email,
4. Masukkan password,
5. Masukkan re-password,
6. Masukkan dob,
7. Masukkan phone,
8. Masukkan Address,
9. Ceklis Address type,
10. Pilih gender,
11. Pilih Country,
12. Pilih State,
13. Pilih City,
13. Klik tombol "Sign Up"</t>
  </si>
  <si>
    <t>1. TC110001,
2. Data user baru
    a. Username           : xa283298
    b. Email                    : xa283298@gmail.com
    c. Password            : batch283!!
    d. Re-password      : batch283!!
    e. Dob                       : 1/1/2020
     f. Phone                   : 012345678
    g. Address               : Jl. H. Abdul Majid No.6
    h. Address type       : Home
    i. Gender                  : Male
    j. Country                  : Indonesia
    k. State                      : jakarta
    l.  City                        : jakarta</t>
  </si>
  <si>
    <t>TC120049</t>
  </si>
  <si>
    <t>Daftar user baru dengan field
1. Username,
2. Email,
3. Password,
4. Re-password,
5. Dob,
6. Phone,
7. Address,
8. Address type,
9. Choose Gender,
10. Country,
11. State,
12. zip code</t>
  </si>
  <si>
    <t>1. TC110001,
2. Masukkan username,
3. Masukkan email,
4. Masukkan password,
5. Masukkan re-password,
6. Masukkan dob,
7. Masukkan phone,
8. Masukkan Address,
9. Ceklis Address type,
10. Pilih gender,
11. Pilih Country,
12. Pilih State,
13. Masukkan zip code,
13. Klik tombol "Sign Up"</t>
  </si>
  <si>
    <t>1. TC110001,
2. Data user baru
    a. Username           : xa283299
    b. Email                    : xa283299@gmail.com
    c. Password            : batch283!!
    d. Re-password      : batch283!!
    e. Dob                       : 1/1/2020
     f. Phone                   : 012345678
    g. Address               : Jl. H. Abdul Majid No.6
    h. Address type       : Home
    i. Gender                  : Male
    j. Country                  : Indonesia
    k. State                      : jakarta
    l.  zip code                : 12410</t>
  </si>
  <si>
    <t>TC130001</t>
  </si>
  <si>
    <t>1. TC110001,
2. Data user baru
    a. Username       : xa283261
    b. Email                : xa283261@gmail.com
    b. Password        : batch283!!
    c. Re-password   : batch283!!
    d. Dob                    : 1/1/2020
    e. Phone               : 012345678
    f. Address             : Jl. H. Abdul Majid No.6 
    g. Address Type  : Home
    h. Gender             : Male
    i. Country              : Indonesia
    j. State                  : Jakarta
    k. City                    : Jakarta
    l. Zip Code           : 12410</t>
  </si>
  <si>
    <t>1. TC110001,
2. Data user
     a. Username    : xa283262
     b. password     : batch283!!</t>
  </si>
  <si>
    <t>1. TC110001,
2. Klik tombol halaman "login"
2. Masukkan username,
3. Masukkan password,
3. Klik tombol "login"</t>
  </si>
  <si>
    <t>1. Berhasil masuk ke halaman profil</t>
  </si>
  <si>
    <t>TC130002</t>
  </si>
  <si>
    <t>Login user dengan field
1. Username,
2. Password</t>
  </si>
  <si>
    <t>Login user dengan field
1. Username</t>
  </si>
  <si>
    <t xml:space="preserve">1. TC110001,
2. Data user
     a. Username    : xa283262
</t>
  </si>
  <si>
    <t>1. TC110001,
2. Klik tombol halaman "login"
2. Masukkan username,
3. Klik tombol "login"</t>
  </si>
  <si>
    <t>1. Tidak berhasil masuk ke halaman profil</t>
  </si>
  <si>
    <t>TC130003</t>
  </si>
  <si>
    <t>Login user dengan field
1. Password</t>
  </si>
  <si>
    <t>1. TC110001,
2. Data user
     a. Password    : batch283!!</t>
  </si>
  <si>
    <t>1. TC110001,
2. Klik tombol halaman "login"
2. Masukkan password,
3. Klik tombol "login"</t>
  </si>
  <si>
    <t>TC130004</t>
  </si>
  <si>
    <t>Login user menggunakan data username invalid dengan field
1.Username
2. Password</t>
  </si>
  <si>
    <t>1. TC110001,
2. Klik tombol halaman "login"
3. Masukkan username
4. Masukkan password,
5. Klik tombol "login"</t>
  </si>
  <si>
    <t>TC130005</t>
  </si>
  <si>
    <t>Login user menggunakan data password invalid dengan field
1. Username
2. Password</t>
  </si>
  <si>
    <t>TC130006</t>
  </si>
  <si>
    <t>Login user menggunakan data username dan password invalid dengan field
1. Username
2. Password</t>
  </si>
  <si>
    <t>TC130007</t>
  </si>
  <si>
    <t>Login user dengan klik keep me logged in</t>
  </si>
  <si>
    <t>1. TC110001</t>
  </si>
  <si>
    <t>TC130008</t>
  </si>
  <si>
    <t>1. TC110001,
2. Data user
     a. Username   : xa282828
     b. Password    : batch283!!!!!</t>
  </si>
  <si>
    <t>1. TC110001,
2. Data user
     a. Username   : xa283262
     b. Password    : batch283!!!!!</t>
  </si>
  <si>
    <t>1. TC110001,
2. Data user
     a. Username   : xa282828
     b. Password    : batch283!!</t>
  </si>
  <si>
    <t>1. TC110001,
2. Klik tombol halaman "login"
3. Ceklis keep me logged in
4. Klik tombol "login"</t>
  </si>
  <si>
    <t>Login user dengan klik keep me logged in dan username yang valid dengan field
1. Username</t>
  </si>
  <si>
    <t>1. TC110001,
2. Klik tombol halaman "login"
3. Masukkan username
4. Ceklis keep me logged in
5. Klik tombol "login"</t>
  </si>
  <si>
    <t>1. TC110001,
2. Data user
     a. Username   : xa283262</t>
  </si>
  <si>
    <t>TC130009</t>
  </si>
  <si>
    <t>Login user dengan klik keep me logged in dan password yang valid dengan field
1. Password</t>
  </si>
  <si>
    <t>1. TC110001,
2. Klik tombol halaman "login"
3. Masukkan password
4. Ceklis keep me logged in
5. Klik tombol "login"</t>
  </si>
  <si>
    <t>TC130010</t>
  </si>
  <si>
    <t>1. TC110001,
2. Data user
     a. Password   : batch283!!</t>
  </si>
  <si>
    <t>1. TC110001,
2. Klik tombol halaman "login"
3. Masukkan username
4. Masukkan password
5. Klik tombol "login"</t>
  </si>
  <si>
    <t>TC130011</t>
  </si>
  <si>
    <t>TC130012</t>
  </si>
  <si>
    <t>Login user dimana username menggunakan uppercase dengan field dan data yang valid
1. Username
2. Password</t>
  </si>
  <si>
    <t>Login user dimana username dan password menggunakan uppercase dengan field dan data yang valid
1. Username
2. Password</t>
  </si>
  <si>
    <t>TC130013</t>
  </si>
  <si>
    <t>Login user dimana password menggunakan uppercase dengan field dan data yang valid
1. Username
2. Password</t>
  </si>
  <si>
    <t>1. TC110001,
2. Data user
     a. Username  : XA283262</t>
  </si>
  <si>
    <t>1. TC110001,
2. Data user
     a. Username  : xa283262
     b. Password   : BATCH283!!</t>
  </si>
  <si>
    <t>1. TC110001,
2. Data user
     a. Username  : XA283262
     b. Password   : batch283!!</t>
  </si>
  <si>
    <t>1. TC110001,
2. Data user
     a. Username  : XA283262
     b. Password   : BATCH283!!</t>
  </si>
  <si>
    <t>1. TC110001,
2. Klik tombol halaman "login"
3. Masukkan username
4. Klik tombol "login"</t>
  </si>
  <si>
    <t>TC130014</t>
  </si>
  <si>
    <t>Login user dimana hanya password menggunakan upper dengan field dan data yang valid
1. Password</t>
  </si>
  <si>
    <t>Login user dimana hanya username menggunakan uppercase dengan field dan data yang valid
1. Username</t>
  </si>
  <si>
    <t>1. TC110001,
2. Data user
     a. Password  : BATCH283!!</t>
  </si>
  <si>
    <t>1. TC110001,
2. Klik tombol halaman "login"
3. Masukkan password
4. Klik tombol "login"</t>
  </si>
  <si>
    <t>TC130015</t>
  </si>
  <si>
    <t>TC130016</t>
  </si>
  <si>
    <t>Login user dimana hanya username menambahkan spesial character "space" dengan field dan data yang valid
1. Username
2. Password</t>
  </si>
  <si>
    <t>Login user dimana hanya password menambahkan "space" dengan field dan data yang valid
1. Username
2. Password</t>
  </si>
  <si>
    <t>1. TC110001,
2. Data user
     a. Username : xa283262
     b. Password  : "batch283!!   "</t>
  </si>
  <si>
    <t>TC130017</t>
  </si>
  <si>
    <t>Login user dimana hanya username menambahkan spesial character "space" dengan field dan data yang invalid
1. Username
2. Password</t>
  </si>
  <si>
    <t>1. TC110001,
2. Data user
     a. Username : "xa282828   "
     b. Password  : batch283!!</t>
  </si>
  <si>
    <t>TC130018</t>
  </si>
  <si>
    <t>Login user dimana hanya password menambahkan spesial character "space" dengan field dan data yang invalid
1. Username
2. Password</t>
  </si>
  <si>
    <t>1. TC110001,
2. Data user
     a. Username : "xa282828   "
     b. Password  : batch28883!!</t>
  </si>
  <si>
    <t>1. TC110001,
2. Data user
     a. Username : xa282828
     b. Password  : "batch288883!!   "</t>
  </si>
  <si>
    <t>1. Tidak  berhasil masuk ke halaman profil</t>
  </si>
  <si>
    <t>TC130019</t>
  </si>
  <si>
    <t>Login user dimana username diganti dengan email dengan field dan data yang valid
1. Email
2. Password</t>
  </si>
  <si>
    <t>1. TC110001,
2. Data user
     a. Username : xa283262@gmail.com
     b. Password  : batch283!!</t>
  </si>
  <si>
    <t>1. TC110001,
2. Klik tombol halaman "login"
3. Masukkan email
4. Masukkan password
5. Klik tombol "login"</t>
  </si>
  <si>
    <t>TC130020</t>
  </si>
  <si>
    <t>1. TC110001,
2. Data user
     a. Username : "     "
     b. Password  : batch283!!</t>
  </si>
  <si>
    <t>Login user dimana username hanya diisi spesial character "space" dengan field dan data password yang valid
1. Username
2. Password</t>
  </si>
  <si>
    <t>TC130021</t>
  </si>
  <si>
    <t>Login user dimana password hanyan diisi spesial character "space" dengan field dan data username valid
1. Username
2. Password</t>
  </si>
  <si>
    <t>1. TC110001,
2. Data user
     a. Username : xa283262
     b. Password  : "   "</t>
  </si>
  <si>
    <t>TC130022</t>
  </si>
  <si>
    <t>Login user dimana hanya klik button login</t>
  </si>
  <si>
    <t>1. TC110001,
2. Klik tombol halaman "login"
3. Klik tombol "login"</t>
  </si>
  <si>
    <t>TC130023</t>
  </si>
  <si>
    <t>berhasil login menggunakan username dan password yang valid dimana username ditambahkan spacing huruf terakhir</t>
  </si>
  <si>
    <t>1. TC110001,
2. Data user
     a. Username : "xa283262    "
     b. Password  : "batch283!!   "</t>
  </si>
  <si>
    <t>Login user dimana username dan password ditambahkan spesial karakter "space" dengan field dan data yang valid
1. Username
2. Password</t>
  </si>
  <si>
    <t>berhasil login menggunakan username dan password yang valid dimana password ditambahkan spacing dihuruf terakhir</t>
  </si>
  <si>
    <t>berhasil login menggunakan username dan password yang valid dimana username dan password ditambahkan spacing huruf terakhir</t>
  </si>
  <si>
    <t>TC130024</t>
  </si>
  <si>
    <t>Login user dimana username ditambahkan spesial karakter "space" dengan field dan data username yang tidak valid
1. Username
2. Password</t>
  </si>
  <si>
    <t>TC130025</t>
  </si>
  <si>
    <t>1. TC110001,
2. Data user
     a. Username : xa283262
     b. Password  : "batch288888!!    "</t>
  </si>
  <si>
    <t>Login user dimana password ditambahkan spesial karakter "space" dengan field dan data password yang tidak valid
1. Username
2. Password</t>
  </si>
  <si>
    <t>1. TC110001,
2. Data user
     a. Username : "xa283262   "
     b. Password  : batch283!!</t>
  </si>
  <si>
    <t>1.4. Profile</t>
  </si>
  <si>
    <t>TC140001</t>
  </si>
  <si>
    <t>Membuka halaman generate user yang berada di drop down home menggunakan akun yang terdaftar</t>
  </si>
  <si>
    <t>1. TC110001,
2. TC130001</t>
  </si>
  <si>
    <t>1. Arahkan kursor ke dropdown home
2. Pilih generate user</t>
  </si>
  <si>
    <t>1. Berhasil menampilkan halaman generated user</t>
  </si>
  <si>
    <t>1.  Berhasil menampilkan halaman generated user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</si>
</sst>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dd\-mmm\-yyyy\ hh\:mm"/>
  </numFmts>
  <fonts count="19">
    <font>
      <sz val="12"/>
      <color theme="1"/>
      <name val="Calibri"/>
      <family val="2"/>
      <scheme val="minor"/>
    </font>
    <font>
      <u/>
      <sz val="12"/>
      <color theme="10"/>
      <name val="Calibri"/>
      <family val="2"/>
      <scheme val="minor"/>
    </font>
    <font>
      <sz val="10"/>
      <color rgb="FF000000"/>
      <name val="Tahoma"/>
      <family val="2"/>
    </font>
    <font>
      <b/>
      <sz val="10"/>
      <color rgb="FF000000"/>
      <name val="Tahoma"/>
      <family val="2"/>
    </font>
    <font>
      <b/>
      <sz val="13"/>
      <color theme="3"/>
      <name val="ArialMT"/>
      <family val="2"/>
    </font>
    <font>
      <b/>
      <sz val="11"/>
      <color theme="3"/>
      <name val="ArialMT"/>
      <family val="2"/>
    </font>
    <font>
      <sz val="12"/>
      <color theme="1"/>
      <name val="Arial"/>
      <family val="2"/>
    </font>
    <font>
      <sz val="10"/>
      <color theme="2" tint="-0.89999084444715716"/>
      <name val="Arial"/>
      <family val="2"/>
    </font>
    <font>
      <sz val="10"/>
      <color rgb="FF000000"/>
      <name val="Arial"/>
      <family val="2"/>
    </font>
    <font>
      <sz val="10"/>
      <name val="Arial"/>
      <family val="2"/>
    </font>
    <font>
      <b/>
      <sz val="10"/>
      <color theme="0"/>
      <name val="Arial"/>
      <family val="2"/>
    </font>
    <font>
      <sz val="10"/>
      <color theme="1"/>
      <name val="Arial"/>
      <family val="2"/>
    </font>
    <font>
      <u/>
      <sz val="10"/>
      <color theme="10"/>
      <name val="Arial"/>
      <family val="2"/>
    </font>
    <font>
      <sz val="10"/>
      <color theme="1"/>
      <name val="Calibri"/>
      <family val="2"/>
      <scheme val="minor"/>
    </font>
    <font>
      <sz val="10"/>
      <color rgb="FF003300"/>
      <name val="Arial"/>
      <family val="2"/>
    </font>
    <font>
      <b/>
      <sz val="12"/>
      <color theme="0"/>
      <name val="Arial"/>
      <family val="2"/>
    </font>
    <font>
      <sz val="12"/>
      <color theme="8" tint="0.79998168889431442"/>
      <name val="Arial"/>
      <family val="2"/>
    </font>
    <font>
      <b/>
      <sz val="10"/>
      <color theme="0"/>
      <name val="ArialMT"/>
      <family val="2"/>
    </font>
    <font>
      <sz val="10"/>
      <color rgb="FF375623"/>
      <name val="ArialMT"/>
    </font>
  </fonts>
  <fills count="7">
    <fill>
      <patternFill patternType="none"/>
    </fill>
    <fill>
      <patternFill patternType="gray125"/>
    </fill>
    <fill>
      <patternFill patternType="solid">
        <fgColor theme="1"/>
        <bgColor indexed="64"/>
      </patternFill>
    </fill>
    <fill>
      <patternFill patternType="solid">
        <fgColor theme="1"/>
        <bgColor rgb="FFC0C0C0"/>
      </patternFill>
    </fill>
    <fill>
      <patternFill patternType="solid">
        <fgColor theme="4"/>
        <bgColor theme="4"/>
      </patternFill>
    </fill>
    <fill>
      <patternFill patternType="solid">
        <fgColor theme="6" tint="0.79998168889431442"/>
        <bgColor indexed="64"/>
      </patternFill>
    </fill>
    <fill>
      <patternFill patternType="solid">
        <fgColor rgb="FF4472C4"/>
        <bgColor rgb="FFC0C0C0"/>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bottom style="thick">
        <color theme="4" tint="0.499984740745262"/>
      </bottom>
      <diagonal/>
    </border>
    <border>
      <left/>
      <right/>
      <top/>
      <bottom style="medium">
        <color theme="4" tint="0.39997558519241921"/>
      </bottom>
      <diagonal/>
    </border>
    <border>
      <left style="dashed">
        <color indexed="64"/>
      </left>
      <right style="dashed">
        <color indexed="64"/>
      </right>
      <top style="dashed">
        <color indexed="64"/>
      </top>
      <bottom style="dashed">
        <color indexed="64"/>
      </bottom>
      <diagonal/>
    </border>
  </borders>
  <cellStyleXfs count="4">
    <xf numFmtId="0" fontId="0" fillId="0" borderId="0"/>
    <xf numFmtId="0" fontId="1" fillId="0" borderId="0" applyNumberFormat="0" applyFill="0" applyBorder="0" applyAlignment="0" applyProtection="0"/>
    <xf numFmtId="0" fontId="4" fillId="0" borderId="5" applyNumberFormat="0" applyFill="0" applyAlignment="0" applyProtection="0"/>
    <xf numFmtId="0" fontId="5" fillId="0" borderId="6" applyNumberFormat="0" applyFill="0" applyAlignment="0" applyProtection="0"/>
  </cellStyleXfs>
  <cellXfs count="42">
    <xf numFmtId="0" fontId="0" fillId="0" borderId="0" xfId="0"/>
    <xf numFmtId="0" fontId="0" fillId="0" borderId="0" xfId="0" applyAlignment="1">
      <alignment wrapText="1"/>
    </xf>
    <xf numFmtId="0" fontId="0" fillId="0" borderId="0" xfId="0" applyAlignment="1">
      <alignment horizontal="center"/>
    </xf>
    <xf numFmtId="0" fontId="6" fillId="0" borderId="0" xfId="0" applyFont="1"/>
    <xf numFmtId="0" fontId="6" fillId="0" borderId="0" xfId="0" applyNumberFormat="1" applyFont="1"/>
    <xf numFmtId="0" fontId="7" fillId="0" borderId="1" xfId="0" applyFont="1" applyBorder="1" applyAlignment="1">
      <alignment horizontal="left" vertical="top"/>
    </xf>
    <xf numFmtId="0" fontId="7" fillId="0" borderId="1" xfId="0" applyFont="1" applyBorder="1" applyAlignment="1">
      <alignment horizontal="left" vertical="top" wrapText="1"/>
    </xf>
    <xf numFmtId="164" fontId="7" fillId="0" borderId="1" xfId="0" applyNumberFormat="1" applyFont="1" applyBorder="1" applyAlignment="1">
      <alignment horizontal="left" vertical="top"/>
    </xf>
    <xf numFmtId="0" fontId="7" fillId="2" borderId="1" xfId="0" applyFont="1" applyFill="1" applyBorder="1" applyAlignment="1">
      <alignment horizontal="left" vertical="top"/>
    </xf>
    <xf numFmtId="0" fontId="8" fillId="0" borderId="0" xfId="0" applyFont="1"/>
    <xf numFmtId="0" fontId="9" fillId="0" borderId="0" xfId="0" applyFont="1" applyAlignment="1">
      <alignment vertical="top"/>
    </xf>
    <xf numFmtId="0" fontId="11" fillId="0" borderId="0" xfId="0" applyFont="1" applyBorder="1" applyAlignment="1">
      <alignment horizontal="center" vertical="top" wrapText="1"/>
    </xf>
    <xf numFmtId="0" fontId="8" fillId="0" borderId="0" xfId="0" applyFont="1" applyAlignment="1">
      <alignment horizontal="left" vertical="center"/>
    </xf>
    <xf numFmtId="0" fontId="9" fillId="0" borderId="0" xfId="0" applyFont="1" applyAlignment="1">
      <alignment vertical="top" wrapText="1"/>
    </xf>
    <xf numFmtId="0" fontId="12" fillId="0" borderId="0" xfId="1" applyFont="1" applyAlignment="1"/>
    <xf numFmtId="165" fontId="8" fillId="0" borderId="0" xfId="0" applyNumberFormat="1" applyFont="1" applyAlignment="1">
      <alignment horizontal="left" vertical="center"/>
    </xf>
    <xf numFmtId="0" fontId="9" fillId="0" borderId="0" xfId="0" applyFont="1" applyBorder="1" applyAlignment="1">
      <alignment horizontal="center" vertical="top" wrapText="1"/>
    </xf>
    <xf numFmtId="14" fontId="9" fillId="0" borderId="0" xfId="0" applyNumberFormat="1" applyFont="1" applyAlignment="1">
      <alignment vertical="top" wrapText="1"/>
    </xf>
    <xf numFmtId="0" fontId="9" fillId="0" borderId="0" xfId="0" applyFont="1" applyAlignment="1">
      <alignment horizontal="center" vertical="top" wrapText="1"/>
    </xf>
    <xf numFmtId="14" fontId="8" fillId="0" borderId="0" xfId="0" applyNumberFormat="1" applyFont="1" applyAlignment="1">
      <alignment horizontal="left" vertical="center"/>
    </xf>
    <xf numFmtId="0" fontId="8" fillId="0" borderId="0" xfId="0" applyFont="1" applyAlignment="1">
      <alignment horizontal="left" vertical="top"/>
    </xf>
    <xf numFmtId="0" fontId="11" fillId="0" borderId="0" xfId="0" applyFont="1"/>
    <xf numFmtId="0" fontId="13" fillId="0" borderId="0" xfId="0" applyFont="1"/>
    <xf numFmtId="166" fontId="7" fillId="0" borderId="1" xfId="0" applyNumberFormat="1" applyFont="1" applyBorder="1" applyAlignment="1">
      <alignment horizontal="left" vertical="top"/>
    </xf>
    <xf numFmtId="0" fontId="15" fillId="0" borderId="5" xfId="2" applyFont="1" applyAlignment="1">
      <alignment horizontal="center" vertical="center"/>
    </xf>
    <xf numFmtId="0" fontId="15" fillId="0" borderId="5" xfId="2" applyFont="1" applyFill="1" applyAlignment="1">
      <alignment horizontal="center" vertical="center"/>
    </xf>
    <xf numFmtId="0" fontId="6" fillId="0" borderId="0" xfId="0" applyFont="1" applyAlignment="1">
      <alignment horizontal="center" vertical="center"/>
    </xf>
    <xf numFmtId="0" fontId="15" fillId="0" borderId="5" xfId="2" applyFont="1" applyFill="1" applyBorder="1" applyAlignment="1">
      <alignment horizontal="center" vertical="center"/>
    </xf>
    <xf numFmtId="0" fontId="16" fillId="5" borderId="0" xfId="0" applyFont="1" applyFill="1"/>
    <xf numFmtId="0" fontId="16" fillId="0" borderId="0" xfId="0" applyFont="1" applyFill="1"/>
    <xf numFmtId="0" fontId="6" fillId="0" borderId="0" xfId="0" applyFont="1" applyFill="1"/>
    <xf numFmtId="0" fontId="7" fillId="0" borderId="4" xfId="0" applyFont="1" applyBorder="1" applyAlignment="1">
      <alignment horizontal="center" vertical="top"/>
    </xf>
    <xf numFmtId="0" fontId="17" fillId="6" borderId="2" xfId="3" applyFont="1" applyFill="1" applyBorder="1" applyAlignment="1">
      <alignment horizontal="center" vertical="center" wrapText="1"/>
    </xf>
    <xf numFmtId="0" fontId="17" fillId="6" borderId="3" xfId="3" applyFont="1" applyFill="1" applyBorder="1" applyAlignment="1">
      <alignment horizontal="center" vertical="center" wrapText="1"/>
    </xf>
    <xf numFmtId="0" fontId="9" fillId="0" borderId="0" xfId="0" applyFont="1" applyFill="1"/>
    <xf numFmtId="0" fontId="9" fillId="0" borderId="0" xfId="0" applyFont="1" applyFill="1" applyAlignment="1">
      <alignment horizontal="center" vertical="center"/>
    </xf>
    <xf numFmtId="0" fontId="9" fillId="0" borderId="0" xfId="0" applyFont="1" applyFill="1" applyAlignment="1">
      <alignment horizontal="left" vertical="center"/>
    </xf>
    <xf numFmtId="0" fontId="17" fillId="3" borderId="3" xfId="3" applyFont="1" applyFill="1" applyBorder="1" applyAlignment="1">
      <alignment horizontal="center" vertical="center" wrapText="1"/>
    </xf>
    <xf numFmtId="0" fontId="10" fillId="4" borderId="7" xfId="0" applyFont="1" applyFill="1" applyBorder="1" applyAlignment="1">
      <alignment horizontal="center" vertical="center"/>
    </xf>
    <xf numFmtId="0" fontId="6" fillId="0" borderId="7" xfId="0" applyFont="1" applyBorder="1"/>
    <xf numFmtId="0" fontId="8" fillId="0" borderId="7" xfId="0" applyFont="1" applyBorder="1"/>
    <xf numFmtId="0" fontId="9" fillId="0" borderId="0" xfId="0" applyFont="1" applyFill="1" applyAlignment="1">
      <alignment horizontal="left" vertical="center"/>
    </xf>
  </cellXfs>
  <cellStyles count="4">
    <cellStyle name="Heading 2" xfId="2" builtinId="17"/>
    <cellStyle name="Heading 3" xfId="3" builtinId="18"/>
    <cellStyle name="Hyperlink" xfId="1" builtinId="8"/>
    <cellStyle name="Normal" xfId="0" builtinId="0"/>
  </cellStyles>
  <dxfs count="48">
    <dxf>
      <font>
        <b val="0"/>
        <i val="0"/>
        <strike val="0"/>
        <condense val="0"/>
        <extend val="0"/>
        <outline val="0"/>
        <shadow val="0"/>
        <u val="none"/>
        <vertAlign val="baseline"/>
        <sz val="10"/>
        <color theme="2" tint="-0.89999084444715716"/>
        <name val="Arial"/>
        <family val="2"/>
        <scheme val="none"/>
      </font>
      <numFmt numFmtId="166" formatCode="dd\-mmm\-yyyy\ hh\:mm"/>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2" tint="-0.89999084444715716"/>
        <name val="Arial"/>
        <family val="2"/>
        <scheme val="none"/>
      </font>
      <numFmt numFmtId="164" formatCode="yyyy\-mm\-dd"/>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2" tint="-0.89999084444715716"/>
        <name val="Arial"/>
        <family val="2"/>
        <scheme val="none"/>
      </font>
      <numFmt numFmtId="166" formatCode="dd\-mmm\-yyyy\ hh\:mm"/>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2" tint="-0.89999084444715716"/>
        <name val="Arial"/>
        <family val="2"/>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2" tint="-0.89999084444715716"/>
        <name val="Arial"/>
        <family val="2"/>
        <scheme val="none"/>
      </font>
      <numFmt numFmtId="164" formatCode="yyyy\-mm\-dd"/>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2" tint="-0.89999084444715716"/>
        <name val="Arial"/>
        <family val="2"/>
        <scheme val="none"/>
      </font>
      <numFmt numFmtId="164" formatCode="yyyy\-mm\-dd"/>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2" tint="-0.89999084444715716"/>
        <name val="Arial"/>
        <family val="2"/>
        <scheme val="none"/>
      </font>
      <numFmt numFmtId="164" formatCode="yyyy\-mm\-dd"/>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2" tint="-0.89999084444715716"/>
        <name val="Arial"/>
        <family val="2"/>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2" tint="-0.89999084444715716"/>
        <name val="Arial"/>
        <family val="2"/>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outline val="0"/>
        <shadow val="0"/>
        <u val="none"/>
        <vertAlign val="baseline"/>
        <sz val="10"/>
        <color theme="2" tint="-0.89999084444715716"/>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outline val="0"/>
        <shadow val="0"/>
        <u val="none"/>
        <vertAlign val="baseline"/>
        <sz val="10"/>
        <color theme="2" tint="-0.89999084444715716"/>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outline val="0"/>
        <shadow val="0"/>
        <u val="none"/>
        <vertAlign val="baseline"/>
        <sz val="10"/>
        <color theme="2" tint="-0.89999084444715716"/>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outline val="0"/>
        <shadow val="0"/>
        <u val="none"/>
        <vertAlign val="baseline"/>
        <sz val="10"/>
        <color theme="2" tint="-0.89999084444715716"/>
        <name val="Arial"/>
        <family val="2"/>
        <scheme val="none"/>
      </font>
      <fill>
        <patternFill patternType="solid">
          <fgColor indexed="64"/>
          <bgColor theme="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outline val="0"/>
        <shadow val="0"/>
        <u val="none"/>
        <vertAlign val="baseline"/>
        <sz val="10"/>
        <color theme="2" tint="-0.89999084444715716"/>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outline val="0"/>
        <shadow val="0"/>
        <u val="none"/>
        <vertAlign val="baseline"/>
        <sz val="10"/>
        <color theme="2" tint="-0.89999084444715716"/>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2" tint="-0.89999084444715716"/>
        <name val="Arial"/>
        <family val="2"/>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2" tint="-0.89999084444715716"/>
        <name val="Arial"/>
        <family val="2"/>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2" tint="-0.89999084444715716"/>
        <name val="Arial"/>
        <family val="2"/>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alignment horizontal="left" vertical="top" textRotation="0" wrapText="0" indent="0" justifyLastLine="0" shrinkToFit="0" readingOrder="0"/>
    </dxf>
    <dxf>
      <border>
        <bottom style="thin">
          <color indexed="64"/>
        </bottom>
      </border>
    </dxf>
    <dxf>
      <font>
        <strike val="0"/>
        <outline val="0"/>
        <shadow val="0"/>
        <u val="none"/>
        <vertAlign val="baseline"/>
        <sz val="10"/>
        <color theme="3"/>
        <name val="ArialMT"/>
        <family val="2"/>
        <scheme val="none"/>
      </font>
      <fill>
        <patternFill patternType="solid">
          <fgColor rgb="FFC0C0C0"/>
          <bgColor theme="8"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theme="1"/>
      </font>
      <fill>
        <patternFill>
          <bgColor theme="9" tint="0.79998168889431442"/>
        </patternFill>
      </fill>
    </dxf>
    <dxf>
      <font>
        <color theme="1"/>
      </font>
      <fill>
        <patternFill>
          <bgColor theme="5" tint="0.79998168889431442"/>
        </patternFill>
      </fill>
    </dxf>
    <dxf>
      <font>
        <color theme="2" tint="-0.89996032593768116"/>
      </font>
      <fill>
        <patternFill>
          <fgColor auto="1"/>
          <bgColor theme="0" tint="-4.9989318521683403E-2"/>
        </patternFill>
      </fill>
    </dxf>
    <dxf>
      <font>
        <color theme="2" tint="-0.89996032593768116"/>
      </font>
      <fill>
        <patternFill>
          <fgColor auto="1"/>
          <bgColor theme="3" tint="0.79998168889431442"/>
        </patternFill>
      </fill>
    </dxf>
    <dxf>
      <font>
        <b val="0"/>
        <i val="0"/>
        <strike val="0"/>
        <condense val="0"/>
        <extend val="0"/>
        <outline val="0"/>
        <shadow val="0"/>
        <u val="none"/>
        <vertAlign val="baseline"/>
        <sz val="12"/>
        <color theme="1"/>
        <name val="Arial"/>
        <family val="2"/>
        <scheme val="none"/>
      </font>
      <numFmt numFmtId="0" formatCode="General"/>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strike val="0"/>
        <outline val="0"/>
        <shadow val="0"/>
        <u val="none"/>
        <vertAlign val="baseline"/>
        <sz val="12"/>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0" formatCode="General"/>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strike val="0"/>
        <outline val="0"/>
        <shadow val="0"/>
        <u val="none"/>
        <vertAlign val="baseline"/>
        <sz val="12"/>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0" formatCode="General"/>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strike val="0"/>
        <outline val="0"/>
        <shadow val="0"/>
        <u val="none"/>
        <vertAlign val="baseline"/>
        <sz val="12"/>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0" formatCode="General"/>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border outline="0">
        <bottom style="thick">
          <color theme="4" tint="0.499984740745262"/>
        </bottom>
      </border>
    </dxf>
    <dxf>
      <font>
        <b/>
        <i val="0"/>
        <strike val="0"/>
        <condense val="0"/>
        <extend val="0"/>
        <outline val="0"/>
        <shadow val="0"/>
        <u val="none"/>
        <vertAlign val="baseline"/>
        <sz val="12"/>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0" formatCode="General"/>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strike val="0"/>
        <outline val="0"/>
        <shadow val="0"/>
        <u val="none"/>
        <vertAlign val="baseline"/>
        <sz val="12"/>
        <color theme="0"/>
        <name val="Arial"/>
        <family val="2"/>
        <scheme val="none"/>
      </font>
      <alignment horizontal="center" vertical="center" textRotation="0" wrapText="0" indent="0" justifyLastLine="0" shrinkToFit="0" readingOrder="0"/>
    </dxf>
  </dxfs>
  <tableStyles count="0" defaultTableStyle="TableStyleMedium2" defaultPivotStyle="PivotStyleLight16"/>
  <colors>
    <mruColors>
      <color rgb="FF5A9CD7"/>
      <color rgb="FF4472C4"/>
      <color rgb="FF788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BERDASARKAN TIPE PENGUJIAN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Dashboard!$F$33</c:f>
              <c:strCache>
                <c:ptCount val="1"/>
                <c:pt idx="0">
                  <c:v>TOTAL</c:v>
                </c:pt>
              </c:strCache>
            </c:strRef>
          </c:tx>
          <c:dPt>
            <c:idx val="0"/>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DCC8-6849-80DE-A1B7789B5950}"/>
              </c:ext>
            </c:extLst>
          </c:dPt>
          <c:dPt>
            <c:idx val="1"/>
            <c:bubble3D val="0"/>
            <c:spPr>
              <a:solidFill>
                <a:schemeClr val="accent2"/>
              </a:solidFill>
              <a:ln w="6350" cap="flat" cmpd="sng" algn="ctr">
                <a:solidFill>
                  <a:schemeClr val="accent2"/>
                </a:solidFill>
                <a:prstDash val="solid"/>
                <a:miter lim="800000"/>
              </a:ln>
              <a:effectLst/>
              <a:sp3d contourW="6350">
                <a:contourClr>
                  <a:schemeClr val="accent2"/>
                </a:contourClr>
              </a:sp3d>
            </c:spPr>
            <c:extLst>
              <c:ext xmlns:c16="http://schemas.microsoft.com/office/drawing/2014/chart" uri="{C3380CC4-5D6E-409C-BE32-E72D297353CC}">
                <c16:uniqueId val="{00000002-DCC8-6849-80DE-A1B7789B5950}"/>
              </c:ext>
            </c:extLst>
          </c:dPt>
          <c:dLbls>
            <c:dLbl>
              <c:idx val="0"/>
              <c:dLblPos val="ctr"/>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DCC8-6849-80DE-A1B7789B5950}"/>
                </c:ext>
              </c:extLst>
            </c:dLbl>
            <c:dLbl>
              <c:idx val="1"/>
              <c:dLblPos val="ctr"/>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2-DCC8-6849-80DE-A1B7789B5950}"/>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Dashboard!$E$34:$E$35</c:f>
              <c:strCache>
                <c:ptCount val="2"/>
                <c:pt idx="0">
                  <c:v>Positive</c:v>
                </c:pt>
                <c:pt idx="1">
                  <c:v>Negative</c:v>
                </c:pt>
              </c:strCache>
            </c:strRef>
          </c:cat>
          <c:val>
            <c:numRef>
              <c:f>Dashboard!$F$34:$F$35</c:f>
              <c:numCache>
                <c:formatCode>General</c:formatCode>
                <c:ptCount val="2"/>
                <c:pt idx="0">
                  <c:v>33</c:v>
                </c:pt>
                <c:pt idx="1">
                  <c:v>43</c:v>
                </c:pt>
              </c:numCache>
            </c:numRef>
          </c:val>
          <c:extLst>
            <c:ext xmlns:c16="http://schemas.microsoft.com/office/drawing/2014/chart" uri="{C3380CC4-5D6E-409C-BE32-E72D297353CC}">
              <c16:uniqueId val="{00000000-A6C9-BE4A-A260-6D5123F979C2}"/>
            </c:ext>
          </c:extLst>
        </c:ser>
        <c:dLbls>
          <c:dLblPos val="ctr"/>
          <c:showLegendKey val="0"/>
          <c:showVal val="0"/>
          <c:showCatName val="0"/>
          <c:showSerName val="0"/>
          <c:showPercent val="1"/>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BERDASARKAN STATUS PENGUJIAN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tx>
            <c:strRef>
              <c:f>Dashboard!$I$33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solidFill>
                <a:schemeClr val="accent6">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67C8-A14F-855C-C412C029BCD9}"/>
              </c:ext>
            </c:extLst>
          </c:dPt>
          <c:dPt>
            <c:idx val="1"/>
            <c:invertIfNegative val="0"/>
            <c:bubble3D val="0"/>
            <c:spPr>
              <a:solidFill>
                <a:schemeClr val="accent2">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67C8-A14F-855C-C412C029BCD9}"/>
              </c:ext>
            </c:extLst>
          </c:dPt>
          <c:dPt>
            <c:idx val="2"/>
            <c:invertIfNegative val="0"/>
            <c:bubble3D val="0"/>
            <c:spPr>
              <a:solidFill>
                <a:schemeClr val="bg2">
                  <a:lumMod val="75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67C8-A14F-855C-C412C029BCD9}"/>
              </c:ext>
            </c:extLst>
          </c:dPt>
          <c:dPt>
            <c:idx val="3"/>
            <c:invertIfNegative val="0"/>
            <c:bubble3D val="0"/>
            <c:spPr>
              <a:solidFill>
                <a:schemeClr val="bg1">
                  <a:lumMod val="5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67C8-A14F-855C-C412C029BCD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Dashboard!$H$34:$H$37</c:f>
              <c:strCache>
                <c:ptCount val="4"/>
                <c:pt idx="0">
                  <c:v>Passed</c:v>
                </c:pt>
                <c:pt idx="1">
                  <c:v>Failed</c:v>
                </c:pt>
                <c:pt idx="2">
                  <c:v>Not Executed</c:v>
                </c:pt>
                <c:pt idx="3">
                  <c:v>Not Ready</c:v>
                </c:pt>
              </c:strCache>
            </c:strRef>
          </c:cat>
          <c:val>
            <c:numRef>
              <c:f>Dashboard!$I$34:$I$37</c:f>
              <c:numCache>
                <c:formatCode>General</c:formatCode>
                <c:ptCount val="4"/>
                <c:pt idx="0">
                  <c:v>73</c:v>
                </c:pt>
                <c:pt idx="1">
                  <c:v>3</c:v>
                </c:pt>
                <c:pt idx="2">
                  <c:v>0</c:v>
                </c:pt>
                <c:pt idx="3">
                  <c:v>0</c:v>
                </c:pt>
              </c:numCache>
            </c:numRef>
          </c:val>
          <c:extLst>
            <c:ext xmlns:c16="http://schemas.microsoft.com/office/drawing/2014/chart" uri="{C3380CC4-5D6E-409C-BE32-E72D297353CC}">
              <c16:uniqueId val="{00000000-6E03-2744-B6DC-69967B61BB88}"/>
            </c:ext>
          </c:extLst>
        </c:ser>
        <c:dLbls>
          <c:dLblPos val="inEnd"/>
          <c:showLegendKey val="0"/>
          <c:showVal val="1"/>
          <c:showCatName val="0"/>
          <c:showSerName val="0"/>
          <c:showPercent val="0"/>
          <c:showBubbleSize val="0"/>
        </c:dLbls>
        <c:gapWidth val="115"/>
        <c:overlap val="-20"/>
        <c:axId val="1945856896"/>
        <c:axId val="1945858544"/>
      </c:barChart>
      <c:catAx>
        <c:axId val="1945856896"/>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45858544"/>
        <c:crosses val="autoZero"/>
        <c:auto val="1"/>
        <c:lblAlgn val="ctr"/>
        <c:lblOffset val="100"/>
        <c:noMultiLvlLbl val="0"/>
      </c:catAx>
      <c:valAx>
        <c:axId val="194585854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45856896"/>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10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BERDASARKAN HALAMAN PENGUJIAN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tx>
            <c:strRef>
              <c:f>Dashboard!$C$33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Dashboard!$B$34:$B$37</c:f>
              <c:strCache>
                <c:ptCount val="4"/>
                <c:pt idx="0">
                  <c:v>1.1. Home</c:v>
                </c:pt>
                <c:pt idx="1">
                  <c:v>1.2. Register</c:v>
                </c:pt>
                <c:pt idx="2">
                  <c:v>1.3. Login</c:v>
                </c:pt>
                <c:pt idx="3">
                  <c:v>1.4. Profile</c:v>
                </c:pt>
              </c:strCache>
            </c:strRef>
          </c:cat>
          <c:val>
            <c:numRef>
              <c:f>Dashboard!$C$34:$C$37</c:f>
              <c:numCache>
                <c:formatCode>General</c:formatCode>
                <c:ptCount val="4"/>
                <c:pt idx="0">
                  <c:v>1</c:v>
                </c:pt>
                <c:pt idx="1">
                  <c:v>49</c:v>
                </c:pt>
                <c:pt idx="2">
                  <c:v>25</c:v>
                </c:pt>
                <c:pt idx="3">
                  <c:v>1</c:v>
                </c:pt>
              </c:numCache>
            </c:numRef>
          </c:val>
          <c:extLst>
            <c:ext xmlns:c16="http://schemas.microsoft.com/office/drawing/2014/chart" uri="{C3380CC4-5D6E-409C-BE32-E72D297353CC}">
              <c16:uniqueId val="{00000000-E63F-8B40-86A7-70943F4A7AE8}"/>
            </c:ext>
          </c:extLst>
        </c:ser>
        <c:dLbls>
          <c:dLblPos val="inEnd"/>
          <c:showLegendKey val="0"/>
          <c:showVal val="1"/>
          <c:showCatName val="0"/>
          <c:showSerName val="0"/>
          <c:showPercent val="0"/>
          <c:showBubbleSize val="0"/>
        </c:dLbls>
        <c:gapWidth val="115"/>
        <c:overlap val="-20"/>
        <c:axId val="1941576928"/>
        <c:axId val="1958194400"/>
      </c:barChart>
      <c:catAx>
        <c:axId val="1941576928"/>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58194400"/>
        <c:crosses val="autoZero"/>
        <c:auto val="1"/>
        <c:lblAlgn val="ctr"/>
        <c:lblOffset val="100"/>
        <c:noMultiLvlLbl val="0"/>
      </c:catAx>
      <c:valAx>
        <c:axId val="1958194400"/>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41576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BERDASARKAN PRIORITAS PENGUJIAN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tx>
            <c:strRef>
              <c:f>Dashboard!$L$33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Dashboard!$K$34:$K$37</c:f>
              <c:strCache>
                <c:ptCount val="4"/>
                <c:pt idx="0">
                  <c:v>Urgent</c:v>
                </c:pt>
                <c:pt idx="1">
                  <c:v>High</c:v>
                </c:pt>
                <c:pt idx="2">
                  <c:v>Medium</c:v>
                </c:pt>
                <c:pt idx="3">
                  <c:v>Low</c:v>
                </c:pt>
              </c:strCache>
            </c:strRef>
          </c:cat>
          <c:val>
            <c:numRef>
              <c:f>Dashboard!$L$34:$L$37</c:f>
              <c:numCache>
                <c:formatCode>General</c:formatCode>
                <c:ptCount val="4"/>
                <c:pt idx="0">
                  <c:v>0</c:v>
                </c:pt>
                <c:pt idx="1">
                  <c:v>0</c:v>
                </c:pt>
                <c:pt idx="2">
                  <c:v>75</c:v>
                </c:pt>
                <c:pt idx="3">
                  <c:v>1</c:v>
                </c:pt>
              </c:numCache>
            </c:numRef>
          </c:val>
          <c:extLst>
            <c:ext xmlns:c16="http://schemas.microsoft.com/office/drawing/2014/chart" uri="{C3380CC4-5D6E-409C-BE32-E72D297353CC}">
              <c16:uniqueId val="{00000000-7ADE-4D43-B762-34DFCE63C1CA}"/>
            </c:ext>
          </c:extLst>
        </c:ser>
        <c:dLbls>
          <c:dLblPos val="inEnd"/>
          <c:showLegendKey val="0"/>
          <c:showVal val="1"/>
          <c:showCatName val="0"/>
          <c:showSerName val="0"/>
          <c:showPercent val="0"/>
          <c:showBubbleSize val="0"/>
        </c:dLbls>
        <c:gapWidth val="115"/>
        <c:overlap val="-20"/>
        <c:axId val="2007084304"/>
        <c:axId val="2007085952"/>
      </c:barChart>
      <c:catAx>
        <c:axId val="2007084304"/>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07085952"/>
        <c:crosses val="autoZero"/>
        <c:auto val="1"/>
        <c:lblAlgn val="ctr"/>
        <c:lblOffset val="100"/>
        <c:noMultiLvlLbl val="0"/>
      </c:catAx>
      <c:valAx>
        <c:axId val="2007085952"/>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070843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10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hyperlink" Target="https://thetestingworld.com/testings/index.php" TargetMode="External"/></Relationships>
</file>

<file path=xl/drawings/drawing1.xml><?xml version="1.0" encoding="utf-8"?>
<xdr:wsDr xmlns:xdr="http://schemas.openxmlformats.org/drawingml/2006/spreadsheetDrawing" xmlns:a="http://schemas.openxmlformats.org/drawingml/2006/main">
  <xdr:twoCellAnchor>
    <xdr:from>
      <xdr:col>6</xdr:col>
      <xdr:colOff>387350</xdr:colOff>
      <xdr:row>0</xdr:row>
      <xdr:rowOff>59690</xdr:rowOff>
    </xdr:from>
    <xdr:to>
      <xdr:col>10</xdr:col>
      <xdr:colOff>330200</xdr:colOff>
      <xdr:row>31</xdr:row>
      <xdr:rowOff>13970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393699</xdr:colOff>
      <xdr:row>16</xdr:row>
      <xdr:rowOff>34159</xdr:rowOff>
    </xdr:from>
    <xdr:to>
      <xdr:col>15</xdr:col>
      <xdr:colOff>30479</xdr:colOff>
      <xdr:row>31</xdr:row>
      <xdr:rowOff>3679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50800</xdr:colOff>
      <xdr:row>0</xdr:row>
      <xdr:rowOff>57150</xdr:rowOff>
    </xdr:from>
    <xdr:to>
      <xdr:col>6</xdr:col>
      <xdr:colOff>330200</xdr:colOff>
      <xdr:row>31</xdr:row>
      <xdr:rowOff>11430</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392914</xdr:colOff>
      <xdr:row>0</xdr:row>
      <xdr:rowOff>64998</xdr:rowOff>
    </xdr:from>
    <xdr:to>
      <xdr:col>15</xdr:col>
      <xdr:colOff>29694</xdr:colOff>
      <xdr:row>15</xdr:row>
      <xdr:rowOff>161518</xdr:rowOff>
    </xdr:to>
    <xdr:graphicFrame macro="">
      <xdr:nvGraphicFramePr>
        <xdr:cNvPr id="9" name="Chart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190619</xdr:colOff>
      <xdr:row>0</xdr:row>
      <xdr:rowOff>63500</xdr:rowOff>
    </xdr:from>
    <xdr:to>
      <xdr:col>5</xdr:col>
      <xdr:colOff>53340</xdr:colOff>
      <xdr:row>4</xdr:row>
      <xdr:rowOff>127000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190619" y="63500"/>
          <a:ext cx="4724281" cy="82550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72000" bIns="36000" rtlCol="0" anchor="t"/>
        <a:lstStyle/>
        <a:p>
          <a:pPr algn="l"/>
          <a:endParaRPr lang="en-US" sz="1000" b="1">
            <a:solidFill>
              <a:schemeClr val="bg2">
                <a:lumMod val="25000"/>
              </a:schemeClr>
            </a:solidFill>
            <a:latin typeface="Arial" panose="020B0604020202020204" pitchFamily="34" charset="0"/>
            <a:cs typeface="Arial" panose="020B0604020202020204" pitchFamily="34" charset="0"/>
          </a:endParaRPr>
        </a:p>
        <a:p>
          <a:pPr algn="l" defTabSz="640080"/>
          <a:r>
            <a:rPr lang="en-US" sz="1100" b="1">
              <a:solidFill>
                <a:schemeClr val="bg2">
                  <a:lumMod val="25000"/>
                </a:schemeClr>
              </a:solidFill>
              <a:latin typeface="Arial" panose="020B0604020202020204" pitchFamily="34" charset="0"/>
              <a:cs typeface="Arial" panose="020B0604020202020204" pitchFamily="34" charset="0"/>
            </a:rPr>
            <a:t>Project Name	:</a:t>
          </a:r>
          <a:r>
            <a:rPr lang="en-US" sz="1100" b="1" baseline="0">
              <a:solidFill>
                <a:schemeClr val="bg2">
                  <a:lumMod val="25000"/>
                </a:schemeClr>
              </a:solidFill>
              <a:latin typeface="Arial" panose="020B0604020202020204" pitchFamily="34" charset="0"/>
              <a:cs typeface="Arial" panose="020B0604020202020204" pitchFamily="34" charset="0"/>
            </a:rPr>
            <a:t> WEB </a:t>
          </a:r>
          <a:r>
            <a:rPr lang="en-US" sz="1100" b="1" i="0" u="none" baseline="0">
              <a:solidFill>
                <a:schemeClr val="bg2">
                  <a:lumMod val="25000"/>
                </a:schemeClr>
              </a:solidFill>
              <a:latin typeface="Arial" panose="020B0604020202020204" pitchFamily="34" charset="0"/>
              <a:cs typeface="Arial" panose="020B0604020202020204" pitchFamily="34" charset="0"/>
            </a:rPr>
            <a:t>The Testing World</a:t>
          </a:r>
        </a:p>
        <a:p>
          <a:pPr algn="l" defTabSz="640080"/>
          <a:r>
            <a:rPr lang="en-US" sz="1100" b="1" baseline="0">
              <a:solidFill>
                <a:schemeClr val="bg2">
                  <a:lumMod val="25000"/>
                </a:schemeClr>
              </a:solidFill>
              <a:latin typeface="Arial" panose="020B0604020202020204" pitchFamily="34" charset="0"/>
              <a:cs typeface="Arial" panose="020B0604020202020204" pitchFamily="34" charset="0"/>
            </a:rPr>
            <a:t>Base URL	: https://thetestingworld.com/testings/index.php</a:t>
          </a:r>
        </a:p>
        <a:p>
          <a:pPr algn="l" defTabSz="640080"/>
          <a:r>
            <a:rPr lang="en-US" sz="1100" b="1" baseline="0">
              <a:solidFill>
                <a:schemeClr val="bg2">
                  <a:lumMod val="25000"/>
                </a:schemeClr>
              </a:solidFill>
              <a:latin typeface="Arial" panose="020B0604020202020204" pitchFamily="34" charset="0"/>
              <a:cs typeface="Arial" panose="020B0604020202020204" pitchFamily="34" charset="0"/>
            </a:rPr>
            <a:t>Test start date	: 31 Maret 2021</a:t>
          </a:r>
        </a:p>
        <a:p>
          <a:pPr algn="l" defTabSz="640080"/>
          <a:r>
            <a:rPr lang="en-US" sz="1100" b="1" baseline="0">
              <a:solidFill>
                <a:schemeClr val="bg2">
                  <a:lumMod val="25000"/>
                </a:schemeClr>
              </a:solidFill>
              <a:latin typeface="Arial" panose="020B0604020202020204" pitchFamily="34" charset="0"/>
              <a:cs typeface="Arial" panose="020B0604020202020204" pitchFamily="34" charset="0"/>
            </a:rPr>
            <a:t>Test end date	: 31 Maret 2021</a:t>
          </a:r>
          <a:endParaRPr lang="en-US" sz="1100" b="1">
            <a:solidFill>
              <a:schemeClr val="bg2">
                <a:lumMod val="25000"/>
              </a:schemeClr>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0</xdr:col>
          <xdr:colOff>76200</xdr:colOff>
          <xdr:row>6</xdr:row>
          <xdr:rowOff>0</xdr:rowOff>
        </xdr:from>
        <xdr:to>
          <xdr:col>1</xdr:col>
          <xdr:colOff>853440</xdr:colOff>
          <xdr:row>6</xdr:row>
          <xdr:rowOff>190500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3300"/>
                  </a:solidFill>
                  <a:latin typeface="Arial"/>
                  <a:cs typeface="Arial"/>
                </a:rPr>
                <a:t>Add Test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929640</xdr:colOff>
          <xdr:row>6</xdr:row>
          <xdr:rowOff>0</xdr:rowOff>
        </xdr:from>
        <xdr:to>
          <xdr:col>1</xdr:col>
          <xdr:colOff>2156460</xdr:colOff>
          <xdr:row>6</xdr:row>
          <xdr:rowOff>190500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375623"/>
                  </a:solidFill>
                  <a:latin typeface="ArialMT"/>
                </a:rPr>
                <a:t>Delete Last Record</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B49D68-9E8A-D34A-B9C6-E6ABF7ECF4E2}" name="TableStatus" displayName="TableStatus" ref="H33:I37" totalsRowShown="0" headerRowDxfId="47" dataDxfId="46" headerRowCellStyle="Heading 2">
  <autoFilter ref="H33:I37" xr:uid="{39B49D68-9E8A-D34A-B9C6-E6ABF7ECF4E2}"/>
  <tableColumns count="2">
    <tableColumn id="1" xr3:uid="{567DBF3E-6AAB-F44B-A620-2B81C9A6B114}" name="STATUS" dataDxfId="45"/>
    <tableColumn id="2" xr3:uid="{00650F91-5404-F04C-9013-56844C846874}" name="TOTAL" dataDxfId="44">
      <calculatedColumnFormula>COUNTIF(Table_test_case[STATUS],TableStatus[[#This Row],[STATUS]])</calculatedColumnFormula>
    </tableColumn>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7F708E7-6029-1341-8251-DF3DDDFF7B00}" name="TablePic" displayName="TablePic" ref="N33:O40" totalsRowShown="0" headerRowDxfId="43" dataDxfId="41" headerRowBorderDxfId="42" headerRowCellStyle="Heading 2">
  <autoFilter ref="N33:O40" xr:uid="{E7F708E7-6029-1341-8251-DF3DDDFF7B00}"/>
  <tableColumns count="2">
    <tableColumn id="1" xr3:uid="{440FA0DB-848F-9F48-9EDE-A92BB70EB242}" name="PIC" dataDxfId="40"/>
    <tableColumn id="2" xr3:uid="{BCFB4232-A96D-B74B-ADE9-74DE4F804D8D}" name="TOTAL" dataDxfId="39">
      <calculatedColumnFormula>COUNTIF(Table_test_case[PIC],TablePic[[#This Row],[PIC]])</calculatedColumnFormula>
    </tableColumn>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A78BE29-BD42-E94C-B75E-07BC3539C64B}" name="TablePriority" displayName="TablePriority" ref="K33:L37" totalsRowShown="0" headerRowDxfId="38" dataDxfId="37" headerRowCellStyle="Heading 2">
  <autoFilter ref="K33:L37" xr:uid="{7A78BE29-BD42-E94C-B75E-07BC3539C64B}"/>
  <tableColumns count="2">
    <tableColumn id="1" xr3:uid="{3FBAF980-B046-1744-A68E-80FA60193677}" name="PRIORITY " dataDxfId="36"/>
    <tableColumn id="2" xr3:uid="{20CF8267-20CB-2447-B0EE-04CA0FFEC084}" name="TOTAL" dataDxfId="35">
      <calculatedColumnFormula>COUNTIF(Table_test_case[PRIORITY],TablePriority[[#This Row],[PRIORITY ]])</calculatedColumnFormula>
    </tableColumn>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2B34AFC-8443-7646-A5FF-38B643D476A1}" name="TableTestType" displayName="TableTestType" ref="E33:F35" totalsRowShown="0" headerRowDxfId="34" dataDxfId="33" headerRowCellStyle="Heading 2">
  <autoFilter ref="E33:F35" xr:uid="{12B34AFC-8443-7646-A5FF-38B643D476A1}"/>
  <tableColumns count="2">
    <tableColumn id="1" xr3:uid="{E4B2D535-AD93-2241-822E-9CF430ABB581}" name="TYPE TEST" dataDxfId="32"/>
    <tableColumn id="2" xr3:uid="{B2FCB4DD-51A8-1548-8514-2F1B2803A7E8}" name="TOTAL" dataDxfId="31">
      <calculatedColumnFormula>COUNTIF(Table_test_case[TEST TYPE],TableTestType[[#This Row],[TYPE TEST]])</calculatedColumnFormula>
    </tableColumn>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C7EEE0D-7F76-2040-BCB4-250854C8F0F0}" name="TablePage" displayName="TablePage" ref="B33:C37" totalsRowShown="0" headerRowDxfId="30" dataDxfId="29" headerRowCellStyle="Heading 2">
  <autoFilter ref="B33:C37" xr:uid="{6C7EEE0D-7F76-2040-BCB4-250854C8F0F0}"/>
  <tableColumns count="2">
    <tableColumn id="2" xr3:uid="{715B60B1-67E3-3D45-A8B0-02B0A787B3D7}" name="PAGE" dataDxfId="28"/>
    <tableColumn id="3" xr3:uid="{A956E912-A71F-0145-AD97-1B193CC99877}" name="TOTAL" dataDxfId="27">
      <calculatedColumnFormula>COUNTIF(Table_test_case[FUNGTION],TablePage[[#This Row],[PAGE]])</calculatedColumnFormula>
    </tableColumn>
  </tableColumns>
  <tableStyleInfo name="TableStyleMedium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test_case" displayName="Table_test_case" ref="A9:R85" totalsRowShown="0" headerRowDxfId="22" dataDxfId="20" headerRowBorderDxfId="21" tableBorderDxfId="19" totalsRowBorderDxfId="18" headerRowCellStyle="Heading 3">
  <autoFilter ref="A9:R85" xr:uid="{00000000-000C-0000-FFFF-FFFF00000000}">
    <filterColumn colId="1">
      <filters>
        <filter val="1.1. Home"/>
        <filter val="1.3. Login"/>
      </filters>
    </filterColumn>
  </autoFilter>
  <tableColumns count="18">
    <tableColumn id="1" xr3:uid="{00000000-0010-0000-0000-000001000000}" name="NO." dataDxfId="17">
      <calculatedColumnFormula>A9+1</calculatedColumnFormula>
    </tableColumn>
    <tableColumn id="2" xr3:uid="{00000000-0010-0000-0000-000002000000}" name="FUNGTION" dataDxfId="16"/>
    <tableColumn id="3" xr3:uid="{00000000-0010-0000-0000-000003000000}" name="TEST_x000a_CASE_x000a_ID" dataDxfId="15"/>
    <tableColumn id="17" xr3:uid="{00000000-0010-0000-0000-000011000000}" name="TEST TYPE" dataDxfId="14"/>
    <tableColumn id="22" xr3:uid="{00000000-0010-0000-0000-000016000000}" name="STATUS" dataDxfId="13"/>
    <tableColumn id="6" xr3:uid="{00000000-0010-0000-0000-000006000000}" name=" " dataDxfId="12"/>
    <tableColumn id="19" xr3:uid="{00000000-0010-0000-0000-000013000000}" name="DESCRIPTION" dataDxfId="11"/>
    <tableColumn id="18" xr3:uid="{00000000-0010-0000-0000-000012000000}" name="PREREQUISITES" dataDxfId="10"/>
    <tableColumn id="7" xr3:uid="{00000000-0010-0000-0000-000007000000}" name="TEST STEPS" dataDxfId="9"/>
    <tableColumn id="8" xr3:uid="{00000000-0010-0000-0000-000008000000}" name="EXPECTED RESULT" dataDxfId="8"/>
    <tableColumn id="9" xr3:uid="{00000000-0010-0000-0000-000009000000}" name="ACTUAL RESULT" dataDxfId="7"/>
    <tableColumn id="16" xr3:uid="{00000000-0010-0000-0000-000010000000}" name="NOTES" dataDxfId="6"/>
    <tableColumn id="5" xr3:uid="{AF37849C-47CF-1D42-9803-BA046E03AA35}" name="PRIORITY" dataDxfId="5"/>
    <tableColumn id="4" xr3:uid="{7D50DCE3-CDE0-D540-AD1E-7BD0F9C19C2B}" name="PIC" dataDxfId="4"/>
    <tableColumn id="12" xr3:uid="{00000000-0010-0000-0000-00000C000000}" name="CREATED_x000a_BY" dataDxfId="3"/>
    <tableColumn id="13" xr3:uid="{00000000-0010-0000-0000-00000D000000}" name="CREATED_x000a_ON" dataDxfId="2"/>
    <tableColumn id="14" xr3:uid="{00000000-0010-0000-0000-00000E000000}" name="EXECUTED BY" dataDxfId="1"/>
    <tableColumn id="15" xr3:uid="{00000000-0010-0000-0000-00000F000000}" name="EXECUTED_x000a_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xml"/><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table" Target="../tables/table6.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2D4AE-FCC9-6742-877C-3E48E2465F27}">
  <sheetPr codeName="Sheet4">
    <tabColor theme="8" tint="-0.249977111117893"/>
  </sheetPr>
  <dimension ref="A1:P41"/>
  <sheetViews>
    <sheetView showGridLines="0" topLeftCell="A21" zoomScaleNormal="100" workbookViewId="0">
      <selection activeCell="B38" sqref="B38"/>
    </sheetView>
  </sheetViews>
  <sheetFormatPr defaultColWidth="10.796875" defaultRowHeight="15"/>
  <cols>
    <col min="1" max="1" width="1.19921875" style="3" customWidth="1"/>
    <col min="2" max="2" width="35.796875" style="3" customWidth="1"/>
    <col min="3" max="3" width="12.796875" style="3" customWidth="1"/>
    <col min="4" max="4" width="5.19921875" style="3" customWidth="1"/>
    <col min="5" max="5" width="21.19921875" style="3" customWidth="1"/>
    <col min="6" max="6" width="12.796875" style="3" customWidth="1"/>
    <col min="7" max="7" width="5.19921875" style="3" customWidth="1"/>
    <col min="8" max="8" width="21.19921875" style="3" customWidth="1"/>
    <col min="9" max="9" width="12.796875" style="3" customWidth="1"/>
    <col min="10" max="10" width="5.19921875" style="3" customWidth="1"/>
    <col min="11" max="11" width="21.19921875" style="3" customWidth="1"/>
    <col min="12" max="12" width="12.796875" style="3" customWidth="1"/>
    <col min="13" max="13" width="5.19921875" style="3" customWidth="1"/>
    <col min="14" max="14" width="21.19921875" style="3" customWidth="1"/>
    <col min="15" max="15" width="12.796875" style="3" customWidth="1"/>
    <col min="16" max="16" width="9" style="3" bestFit="1" customWidth="1"/>
    <col min="17" max="17" width="17.19921875" style="3" bestFit="1" customWidth="1"/>
    <col min="18" max="18" width="16.5" style="3" bestFit="1" customWidth="1"/>
    <col min="19" max="19" width="22" style="3" bestFit="1" customWidth="1"/>
    <col min="20" max="16384" width="10.796875" style="3"/>
  </cols>
  <sheetData>
    <row r="1" spans="1:16" ht="6" customHeight="1">
      <c r="A1" s="28"/>
      <c r="B1" s="28"/>
      <c r="C1" s="28"/>
      <c r="D1" s="28"/>
      <c r="E1" s="28"/>
      <c r="F1" s="28"/>
      <c r="G1" s="28"/>
      <c r="H1" s="28"/>
      <c r="I1" s="28"/>
      <c r="J1" s="28"/>
      <c r="K1" s="28"/>
      <c r="L1" s="28"/>
      <c r="M1" s="28"/>
      <c r="N1" s="28"/>
      <c r="O1" s="28"/>
      <c r="P1" s="29"/>
    </row>
    <row r="2" spans="1:16">
      <c r="A2" s="28"/>
      <c r="B2" s="28"/>
      <c r="C2" s="28"/>
      <c r="D2" s="28"/>
      <c r="E2" s="28"/>
      <c r="F2" s="28"/>
      <c r="G2" s="28"/>
      <c r="H2" s="28"/>
      <c r="I2" s="28"/>
      <c r="J2" s="28"/>
      <c r="K2" s="28"/>
      <c r="L2" s="28"/>
      <c r="M2" s="28"/>
      <c r="N2" s="28"/>
      <c r="O2" s="28"/>
      <c r="P2" s="29"/>
    </row>
    <row r="3" spans="1:16">
      <c r="A3" s="28"/>
      <c r="B3" s="28"/>
      <c r="C3" s="28"/>
      <c r="D3" s="28"/>
      <c r="E3" s="28"/>
      <c r="F3" s="28"/>
      <c r="G3" s="28"/>
      <c r="H3" s="28"/>
      <c r="I3" s="28"/>
      <c r="J3" s="28"/>
      <c r="K3" s="28"/>
      <c r="L3" s="28"/>
      <c r="M3" s="28"/>
      <c r="N3" s="28"/>
      <c r="O3" s="28"/>
      <c r="P3" s="29"/>
    </row>
    <row r="4" spans="1:16">
      <c r="A4" s="28"/>
      <c r="B4" s="28"/>
      <c r="C4" s="28"/>
      <c r="D4" s="28"/>
      <c r="E4" s="28"/>
      <c r="F4" s="28"/>
      <c r="G4" s="28"/>
      <c r="H4" s="28"/>
      <c r="I4" s="28"/>
      <c r="J4" s="28"/>
      <c r="K4" s="28"/>
      <c r="L4" s="28"/>
      <c r="M4" s="28"/>
      <c r="N4" s="28"/>
      <c r="O4" s="28"/>
      <c r="P4" s="29"/>
    </row>
    <row r="5" spans="1:16">
      <c r="A5" s="28"/>
      <c r="B5" s="28"/>
      <c r="C5" s="28"/>
      <c r="D5" s="28"/>
      <c r="E5" s="28"/>
      <c r="F5" s="28"/>
      <c r="G5" s="28"/>
      <c r="H5" s="28"/>
      <c r="I5" s="28"/>
      <c r="J5" s="28"/>
      <c r="K5" s="28"/>
      <c r="L5" s="28"/>
      <c r="M5" s="28"/>
      <c r="N5" s="28"/>
      <c r="O5" s="28"/>
      <c r="P5" s="29"/>
    </row>
    <row r="6" spans="1:16">
      <c r="A6" s="28"/>
      <c r="B6" s="28"/>
      <c r="C6" s="28"/>
      <c r="D6" s="28"/>
      <c r="E6" s="28"/>
      <c r="F6" s="28"/>
      <c r="G6" s="28"/>
      <c r="H6" s="28"/>
      <c r="I6" s="28"/>
      <c r="J6" s="28"/>
      <c r="K6" s="28"/>
      <c r="L6" s="28"/>
      <c r="M6" s="28"/>
      <c r="N6" s="28"/>
      <c r="O6" s="28"/>
      <c r="P6" s="29"/>
    </row>
    <row r="7" spans="1:16">
      <c r="A7" s="28"/>
      <c r="B7" s="28"/>
      <c r="C7" s="28"/>
      <c r="D7" s="28"/>
      <c r="E7" s="28"/>
      <c r="F7" s="28"/>
      <c r="G7" s="28"/>
      <c r="H7" s="28"/>
      <c r="I7" s="28"/>
      <c r="J7" s="28"/>
      <c r="K7" s="28"/>
      <c r="L7" s="28"/>
      <c r="M7" s="28"/>
      <c r="N7" s="28"/>
      <c r="O7" s="28"/>
      <c r="P7" s="29"/>
    </row>
    <row r="8" spans="1:16">
      <c r="A8" s="28"/>
      <c r="B8" s="28"/>
      <c r="C8" s="28"/>
      <c r="D8" s="28"/>
      <c r="E8" s="28"/>
      <c r="F8" s="28"/>
      <c r="G8" s="28"/>
      <c r="H8" s="28"/>
      <c r="I8" s="28"/>
      <c r="J8" s="28"/>
      <c r="K8" s="28"/>
      <c r="L8" s="28"/>
      <c r="M8" s="28"/>
      <c r="N8" s="28"/>
      <c r="O8" s="28"/>
      <c r="P8" s="29"/>
    </row>
    <row r="9" spans="1:16">
      <c r="A9" s="28"/>
      <c r="B9" s="28"/>
      <c r="C9" s="28"/>
      <c r="D9" s="28"/>
      <c r="E9" s="28"/>
      <c r="F9" s="28"/>
      <c r="G9" s="28"/>
      <c r="H9" s="28"/>
      <c r="I9" s="28"/>
      <c r="J9" s="28"/>
      <c r="K9" s="28"/>
      <c r="L9" s="28"/>
      <c r="M9" s="28"/>
      <c r="N9" s="28"/>
      <c r="O9" s="28"/>
      <c r="P9" s="29"/>
    </row>
    <row r="10" spans="1:16">
      <c r="A10" s="28"/>
      <c r="B10" s="28"/>
      <c r="C10" s="28"/>
      <c r="D10" s="28"/>
      <c r="E10" s="28"/>
      <c r="F10" s="28"/>
      <c r="G10" s="28"/>
      <c r="H10" s="28"/>
      <c r="I10" s="28"/>
      <c r="J10" s="28"/>
      <c r="K10" s="28"/>
      <c r="L10" s="28"/>
      <c r="M10" s="28"/>
      <c r="N10" s="28"/>
      <c r="O10" s="28"/>
      <c r="P10" s="29"/>
    </row>
    <row r="11" spans="1:16">
      <c r="A11" s="28"/>
      <c r="B11" s="28"/>
      <c r="C11" s="28"/>
      <c r="D11" s="28"/>
      <c r="E11" s="28"/>
      <c r="F11" s="28"/>
      <c r="G11" s="28"/>
      <c r="H11" s="28"/>
      <c r="I11" s="28"/>
      <c r="J11" s="28"/>
      <c r="K11" s="28"/>
      <c r="L11" s="28"/>
      <c r="M11" s="28"/>
      <c r="N11" s="28"/>
      <c r="O11" s="28"/>
      <c r="P11" s="29"/>
    </row>
    <row r="12" spans="1:16">
      <c r="A12" s="28"/>
      <c r="B12" s="28"/>
      <c r="C12" s="28"/>
      <c r="D12" s="28"/>
      <c r="E12" s="28"/>
      <c r="F12" s="28"/>
      <c r="G12" s="28"/>
      <c r="H12" s="28"/>
      <c r="I12" s="28"/>
      <c r="J12" s="28"/>
      <c r="K12" s="28"/>
      <c r="L12" s="28"/>
      <c r="M12" s="28"/>
      <c r="N12" s="28"/>
      <c r="O12" s="28"/>
      <c r="P12" s="29"/>
    </row>
    <row r="13" spans="1:16">
      <c r="A13" s="28"/>
      <c r="B13" s="28"/>
      <c r="C13" s="28"/>
      <c r="D13" s="28"/>
      <c r="E13" s="28"/>
      <c r="F13" s="28"/>
      <c r="G13" s="28"/>
      <c r="H13" s="28"/>
      <c r="I13" s="28"/>
      <c r="J13" s="28"/>
      <c r="K13" s="28"/>
      <c r="L13" s="28"/>
      <c r="M13" s="28"/>
      <c r="N13" s="28"/>
      <c r="O13" s="28"/>
      <c r="P13" s="29"/>
    </row>
    <row r="14" spans="1:16">
      <c r="A14" s="28"/>
      <c r="B14" s="28"/>
      <c r="C14" s="28"/>
      <c r="D14" s="28"/>
      <c r="E14" s="28"/>
      <c r="F14" s="28"/>
      <c r="G14" s="28"/>
      <c r="H14" s="28"/>
      <c r="I14" s="28"/>
      <c r="J14" s="28"/>
      <c r="K14" s="28"/>
      <c r="L14" s="28"/>
      <c r="M14" s="28"/>
      <c r="N14" s="28"/>
      <c r="O14" s="28"/>
      <c r="P14" s="29"/>
    </row>
    <row r="15" spans="1:16">
      <c r="A15" s="28"/>
      <c r="B15" s="28"/>
      <c r="C15" s="28"/>
      <c r="D15" s="28"/>
      <c r="E15" s="28"/>
      <c r="F15" s="28"/>
      <c r="G15" s="28"/>
      <c r="H15" s="28"/>
      <c r="I15" s="28"/>
      <c r="J15" s="28"/>
      <c r="K15" s="28"/>
      <c r="L15" s="28"/>
      <c r="M15" s="28"/>
      <c r="N15" s="28"/>
      <c r="O15" s="28"/>
      <c r="P15" s="29"/>
    </row>
    <row r="16" spans="1:16">
      <c r="A16" s="28"/>
      <c r="B16" s="28"/>
      <c r="C16" s="28"/>
      <c r="D16" s="28"/>
      <c r="E16" s="28"/>
      <c r="F16" s="28"/>
      <c r="G16" s="28"/>
      <c r="H16" s="28"/>
      <c r="I16" s="28"/>
      <c r="J16" s="28"/>
      <c r="K16" s="28"/>
      <c r="L16" s="28"/>
      <c r="M16" s="28"/>
      <c r="N16" s="28"/>
      <c r="O16" s="28"/>
      <c r="P16" s="29"/>
    </row>
    <row r="17" spans="1:16">
      <c r="A17" s="28"/>
      <c r="B17" s="28"/>
      <c r="C17" s="28"/>
      <c r="D17" s="28"/>
      <c r="E17" s="28"/>
      <c r="F17" s="28"/>
      <c r="G17" s="28"/>
      <c r="H17" s="28"/>
      <c r="I17" s="28"/>
      <c r="J17" s="28"/>
      <c r="K17" s="28"/>
      <c r="L17" s="28"/>
      <c r="M17" s="28"/>
      <c r="N17" s="28"/>
      <c r="O17" s="28"/>
      <c r="P17" s="29"/>
    </row>
    <row r="18" spans="1:16">
      <c r="A18" s="28"/>
      <c r="B18" s="28"/>
      <c r="C18" s="28"/>
      <c r="D18" s="28"/>
      <c r="E18" s="28"/>
      <c r="F18" s="28"/>
      <c r="G18" s="28"/>
      <c r="H18" s="28"/>
      <c r="I18" s="28"/>
      <c r="J18" s="28"/>
      <c r="K18" s="28"/>
      <c r="L18" s="28"/>
      <c r="M18" s="28"/>
      <c r="N18" s="28"/>
      <c r="O18" s="28"/>
      <c r="P18" s="29"/>
    </row>
    <row r="19" spans="1:16">
      <c r="A19" s="28"/>
      <c r="B19" s="28"/>
      <c r="C19" s="28"/>
      <c r="D19" s="28"/>
      <c r="E19" s="28"/>
      <c r="F19" s="28"/>
      <c r="G19" s="28"/>
      <c r="H19" s="28"/>
      <c r="I19" s="28"/>
      <c r="J19" s="28"/>
      <c r="K19" s="28"/>
      <c r="L19" s="28"/>
      <c r="M19" s="28"/>
      <c r="N19" s="28"/>
      <c r="O19" s="28"/>
      <c r="P19" s="29"/>
    </row>
    <row r="20" spans="1:16">
      <c r="A20" s="28"/>
      <c r="B20" s="28"/>
      <c r="C20" s="28"/>
      <c r="D20" s="28"/>
      <c r="E20" s="28"/>
      <c r="F20" s="28"/>
      <c r="G20" s="28"/>
      <c r="H20" s="28"/>
      <c r="I20" s="28"/>
      <c r="J20" s="28"/>
      <c r="K20" s="28"/>
      <c r="L20" s="28"/>
      <c r="M20" s="28"/>
      <c r="N20" s="28"/>
      <c r="O20" s="28"/>
      <c r="P20" s="29"/>
    </row>
    <row r="21" spans="1:16">
      <c r="A21" s="28"/>
      <c r="B21" s="28"/>
      <c r="C21" s="28"/>
      <c r="D21" s="28"/>
      <c r="E21" s="28"/>
      <c r="F21" s="28"/>
      <c r="G21" s="28"/>
      <c r="H21" s="28"/>
      <c r="I21" s="28"/>
      <c r="J21" s="28"/>
      <c r="K21" s="28"/>
      <c r="L21" s="28"/>
      <c r="M21" s="28"/>
      <c r="N21" s="28"/>
      <c r="O21" s="28"/>
      <c r="P21" s="29"/>
    </row>
    <row r="22" spans="1:16">
      <c r="A22" s="28"/>
      <c r="B22" s="28"/>
      <c r="C22" s="28"/>
      <c r="D22" s="28"/>
      <c r="E22" s="28"/>
      <c r="F22" s="28"/>
      <c r="G22" s="28"/>
      <c r="H22" s="28"/>
      <c r="I22" s="28"/>
      <c r="J22" s="28"/>
      <c r="K22" s="28"/>
      <c r="L22" s="28"/>
      <c r="M22" s="28"/>
      <c r="N22" s="28"/>
      <c r="O22" s="28"/>
      <c r="P22" s="29"/>
    </row>
    <row r="23" spans="1:16">
      <c r="A23" s="28"/>
      <c r="B23" s="28"/>
      <c r="C23" s="28"/>
      <c r="D23" s="28"/>
      <c r="E23" s="28"/>
      <c r="F23" s="28"/>
      <c r="G23" s="28"/>
      <c r="H23" s="28"/>
      <c r="I23" s="28"/>
      <c r="J23" s="28"/>
      <c r="K23" s="28"/>
      <c r="L23" s="28"/>
      <c r="M23" s="28"/>
      <c r="N23" s="28"/>
      <c r="O23" s="28"/>
      <c r="P23" s="29"/>
    </row>
    <row r="24" spans="1:16">
      <c r="A24" s="28"/>
      <c r="B24" s="28"/>
      <c r="C24" s="28"/>
      <c r="D24" s="28"/>
      <c r="E24" s="28"/>
      <c r="F24" s="28"/>
      <c r="G24" s="28"/>
      <c r="H24" s="28"/>
      <c r="I24" s="28"/>
      <c r="J24" s="28"/>
      <c r="K24" s="28"/>
      <c r="L24" s="28"/>
      <c r="M24" s="28"/>
      <c r="N24" s="28"/>
      <c r="O24" s="28"/>
      <c r="P24" s="29"/>
    </row>
    <row r="25" spans="1:16">
      <c r="A25" s="28"/>
      <c r="B25" s="28"/>
      <c r="C25" s="28"/>
      <c r="D25" s="28"/>
      <c r="E25" s="28"/>
      <c r="F25" s="28"/>
      <c r="G25" s="28"/>
      <c r="H25" s="28"/>
      <c r="I25" s="28"/>
      <c r="J25" s="28"/>
      <c r="K25" s="28"/>
      <c r="L25" s="28"/>
      <c r="M25" s="28"/>
      <c r="N25" s="28"/>
      <c r="O25" s="28"/>
      <c r="P25" s="29"/>
    </row>
    <row r="26" spans="1:16">
      <c r="A26" s="28"/>
      <c r="B26" s="28"/>
      <c r="C26" s="28"/>
      <c r="D26" s="28"/>
      <c r="E26" s="28"/>
      <c r="F26" s="28"/>
      <c r="G26" s="28"/>
      <c r="H26" s="28"/>
      <c r="I26" s="28"/>
      <c r="J26" s="28"/>
      <c r="K26" s="28"/>
      <c r="L26" s="28"/>
      <c r="M26" s="28"/>
      <c r="N26" s="28"/>
      <c r="O26" s="28"/>
      <c r="P26" s="29"/>
    </row>
    <row r="27" spans="1:16">
      <c r="A27" s="28"/>
      <c r="B27" s="28"/>
      <c r="C27" s="28"/>
      <c r="D27" s="28"/>
      <c r="E27" s="28"/>
      <c r="F27" s="28"/>
      <c r="G27" s="28"/>
      <c r="H27" s="28"/>
      <c r="I27" s="28"/>
      <c r="J27" s="28"/>
      <c r="K27" s="28"/>
      <c r="L27" s="28"/>
      <c r="M27" s="28"/>
      <c r="N27" s="28"/>
      <c r="O27" s="28"/>
      <c r="P27" s="29"/>
    </row>
    <row r="28" spans="1:16" ht="16.05" customHeight="1">
      <c r="A28" s="28"/>
      <c r="B28" s="28"/>
      <c r="C28" s="28"/>
      <c r="D28" s="28"/>
      <c r="E28" s="28"/>
      <c r="F28" s="28"/>
      <c r="G28" s="28"/>
      <c r="H28" s="28"/>
      <c r="I28" s="28"/>
      <c r="J28" s="28"/>
      <c r="K28" s="28"/>
      <c r="L28" s="28"/>
      <c r="M28" s="28"/>
      <c r="N28" s="28"/>
      <c r="O28" s="28"/>
      <c r="P28" s="29"/>
    </row>
    <row r="29" spans="1:16" ht="16.05" customHeight="1">
      <c r="A29" s="28"/>
      <c r="B29" s="28"/>
      <c r="C29" s="28"/>
      <c r="D29" s="28"/>
      <c r="E29" s="28"/>
      <c r="F29" s="28"/>
      <c r="G29" s="28"/>
      <c r="H29" s="28"/>
      <c r="I29" s="28"/>
      <c r="J29" s="28"/>
      <c r="K29" s="28"/>
      <c r="L29" s="28"/>
      <c r="M29" s="28"/>
      <c r="N29" s="28"/>
      <c r="O29" s="28"/>
      <c r="P29" s="29"/>
    </row>
    <row r="30" spans="1:16" ht="16.05" customHeight="1">
      <c r="A30" s="28"/>
      <c r="B30" s="28"/>
      <c r="C30" s="28"/>
      <c r="D30" s="28"/>
      <c r="E30" s="28"/>
      <c r="F30" s="28"/>
      <c r="G30" s="28"/>
      <c r="H30" s="28"/>
      <c r="I30" s="28"/>
      <c r="J30" s="28"/>
      <c r="K30" s="28"/>
      <c r="L30" s="28"/>
      <c r="M30" s="28"/>
      <c r="N30" s="28"/>
      <c r="O30" s="28"/>
      <c r="P30" s="29"/>
    </row>
    <row r="31" spans="1:16" ht="16.05" customHeight="1">
      <c r="A31" s="28"/>
      <c r="B31" s="28"/>
      <c r="C31" s="28"/>
      <c r="D31" s="28"/>
      <c r="E31" s="28"/>
      <c r="F31" s="28"/>
      <c r="G31" s="28"/>
      <c r="H31" s="28"/>
      <c r="I31" s="28"/>
      <c r="J31" s="28"/>
      <c r="K31" s="28"/>
      <c r="L31" s="28"/>
      <c r="M31" s="28"/>
      <c r="N31" s="28"/>
      <c r="O31" s="28"/>
      <c r="P31" s="29"/>
    </row>
    <row r="32" spans="1:16" ht="16.05" customHeight="1">
      <c r="P32" s="30"/>
    </row>
    <row r="33" spans="2:15" ht="42" customHeight="1" thickBot="1">
      <c r="B33" s="24" t="s">
        <v>33</v>
      </c>
      <c r="C33" s="25" t="s">
        <v>34</v>
      </c>
      <c r="D33" s="26"/>
      <c r="E33" s="24" t="s">
        <v>32</v>
      </c>
      <c r="F33" s="25" t="s">
        <v>34</v>
      </c>
      <c r="G33" s="26"/>
      <c r="H33" s="24" t="s">
        <v>6</v>
      </c>
      <c r="I33" s="25" t="s">
        <v>34</v>
      </c>
      <c r="J33" s="26"/>
      <c r="K33" s="24" t="s">
        <v>27</v>
      </c>
      <c r="L33" s="25" t="s">
        <v>34</v>
      </c>
      <c r="M33" s="26"/>
      <c r="N33" s="24" t="s">
        <v>11</v>
      </c>
      <c r="O33" s="27" t="s">
        <v>34</v>
      </c>
    </row>
    <row r="34" spans="2:15" ht="15.6" thickTop="1">
      <c r="B34" s="3" t="s">
        <v>48</v>
      </c>
      <c r="C34" s="3">
        <f>COUNTIF(Table_test_case[FUNGTION],TablePage[[#This Row],[PAGE]])</f>
        <v>1</v>
      </c>
      <c r="E34" s="3" t="s">
        <v>8</v>
      </c>
      <c r="F34" s="3">
        <f>COUNTIF(Table_test_case[TEST TYPE],TableTestType[[#This Row],[TYPE TEST]])</f>
        <v>33</v>
      </c>
      <c r="H34" s="3" t="s">
        <v>23</v>
      </c>
      <c r="I34" s="3">
        <f>COUNTIF(Table_test_case[STATUS],TableStatus[[#This Row],[STATUS]])</f>
        <v>73</v>
      </c>
      <c r="K34" s="3" t="s">
        <v>28</v>
      </c>
      <c r="L34" s="3">
        <f>COUNTIF(Table_test_case[PRIORITY],TablePriority[[#This Row],[PRIORITY ]])</f>
        <v>0</v>
      </c>
      <c r="N34" s="3" t="s">
        <v>9</v>
      </c>
      <c r="O34" s="3">
        <f>COUNTIF(Table_test_case[PIC],TablePic[[#This Row],[PIC]])</f>
        <v>0</v>
      </c>
    </row>
    <row r="35" spans="2:15">
      <c r="B35" s="3" t="s">
        <v>49</v>
      </c>
      <c r="C35" s="3">
        <f>COUNTIF(Table_test_case[FUNGTION],TablePage[[#This Row],[PAGE]])</f>
        <v>49</v>
      </c>
      <c r="E35" s="3" t="s">
        <v>12</v>
      </c>
      <c r="F35" s="3">
        <f>COUNTIF(Table_test_case[TEST TYPE],TableTestType[[#This Row],[TYPE TEST]])</f>
        <v>43</v>
      </c>
      <c r="H35" s="3" t="s">
        <v>24</v>
      </c>
      <c r="I35" s="3">
        <f>COUNTIF(Table_test_case[STATUS],TableStatus[[#This Row],[STATUS]])</f>
        <v>3</v>
      </c>
      <c r="K35" s="3" t="s">
        <v>29</v>
      </c>
      <c r="L35" s="3">
        <f>COUNTIF(Table_test_case[PRIORITY],TablePriority[[#This Row],[PRIORITY ]])</f>
        <v>0</v>
      </c>
      <c r="N35" s="3" t="s">
        <v>36</v>
      </c>
      <c r="O35" s="3">
        <f>COUNTIF(Table_test_case[PIC],TablePic[[#This Row],[PIC]])</f>
        <v>0</v>
      </c>
    </row>
    <row r="36" spans="2:15">
      <c r="B36" s="3" t="s">
        <v>50</v>
      </c>
      <c r="C36" s="4">
        <f>COUNTIF(Table_test_case[FUNGTION],TablePage[[#This Row],[PAGE]])</f>
        <v>25</v>
      </c>
      <c r="H36" s="3" t="s">
        <v>25</v>
      </c>
      <c r="I36" s="3">
        <f>COUNTIF(Table_test_case[STATUS],TableStatus[[#This Row],[STATUS]])</f>
        <v>0</v>
      </c>
      <c r="K36" s="3" t="s">
        <v>30</v>
      </c>
      <c r="L36" s="3">
        <f>COUNTIF(Table_test_case[PRIORITY],TablePriority[[#This Row],[PRIORITY ]])</f>
        <v>75</v>
      </c>
      <c r="N36" s="3" t="s">
        <v>37</v>
      </c>
      <c r="O36" s="3">
        <f>COUNTIF(Table_test_case[PIC],TablePic[[#This Row],[PIC]])</f>
        <v>76</v>
      </c>
    </row>
    <row r="37" spans="2:15">
      <c r="B37" s="3" t="s">
        <v>341</v>
      </c>
      <c r="C37" s="4">
        <f>COUNTIF(Table_test_case[FUNGTION],TablePage[[#This Row],[PAGE]])</f>
        <v>1</v>
      </c>
      <c r="H37" s="3" t="s">
        <v>20</v>
      </c>
      <c r="I37" s="3">
        <f>COUNTIF(Table_test_case[STATUS],TableStatus[[#This Row],[STATUS]])</f>
        <v>0</v>
      </c>
      <c r="K37" s="3" t="s">
        <v>31</v>
      </c>
      <c r="L37" s="3">
        <f>COUNTIF(Table_test_case[PRIORITY],TablePriority[[#This Row],[PRIORITY ]])</f>
        <v>1</v>
      </c>
      <c r="N37" s="3" t="s">
        <v>38</v>
      </c>
      <c r="O37" s="4">
        <f>COUNTIF(Table_test_case[PIC],TablePic[[#This Row],[PIC]])</f>
        <v>0</v>
      </c>
    </row>
    <row r="38" spans="2:15">
      <c r="I38" s="4"/>
      <c r="N38" s="3" t="s">
        <v>39</v>
      </c>
      <c r="O38" s="4">
        <f>COUNTIF(Table_test_case[PIC],TablePic[[#This Row],[PIC]])</f>
        <v>0</v>
      </c>
    </row>
    <row r="39" spans="2:15">
      <c r="I39" s="4"/>
      <c r="N39" s="3" t="s">
        <v>40</v>
      </c>
      <c r="O39" s="4">
        <f>COUNTIF(Table_test_case[PIC],TablePic[[#This Row],[PIC]])</f>
        <v>0</v>
      </c>
    </row>
    <row r="40" spans="2:15">
      <c r="I40" s="4"/>
      <c r="N40" s="3" t="s">
        <v>41</v>
      </c>
      <c r="O40" s="4">
        <f>COUNTIF(Table_test_case[PIC],TablePic[[#This Row],[PIC]])</f>
        <v>0</v>
      </c>
    </row>
    <row r="41" spans="2:15">
      <c r="I41" s="4"/>
    </row>
  </sheetData>
  <pageMargins left="0.7" right="0.7" top="0.75" bottom="0.75" header="0.3" footer="0.3"/>
  <drawing r:id="rId1"/>
  <tableParts count="5">
    <tablePart r:id="rId2"/>
    <tablePart r:id="rId3"/>
    <tablePart r:id="rId4"/>
    <tablePart r:id="rId5"/>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S93"/>
  <sheetViews>
    <sheetView showGridLines="0" tabSelected="1" zoomScaleNormal="100" workbookViewId="0">
      <pane xSplit="6" ySplit="9" topLeftCell="G78" activePane="bottomRight" state="frozen"/>
      <selection activeCell="C17" sqref="C17:C18"/>
      <selection pane="topRight" activeCell="C17" sqref="C17:C18"/>
      <selection pane="bottomLeft" activeCell="C17" sqref="C17:C18"/>
      <selection pane="bottomRight" activeCell="J12" sqref="J12"/>
    </sheetView>
  </sheetViews>
  <sheetFormatPr defaultColWidth="9" defaultRowHeight="15" customHeight="1"/>
  <cols>
    <col min="1" max="1" width="4" style="9" customWidth="1"/>
    <col min="2" max="2" width="30.796875" style="9" customWidth="1"/>
    <col min="3" max="3" width="9.796875" style="9" customWidth="1"/>
    <col min="4" max="4" width="8.19921875" style="9" bestFit="1" customWidth="1"/>
    <col min="5" max="5" width="11" style="9" customWidth="1"/>
    <col min="6" max="6" width="2.5" style="9" customWidth="1"/>
    <col min="7" max="7" width="35.69921875" style="9" customWidth="1"/>
    <col min="8" max="8" width="38.5" style="9" customWidth="1"/>
    <col min="9" max="11" width="35.69921875" style="9" customWidth="1"/>
    <col min="12" max="13" width="23.796875" style="9" customWidth="1"/>
    <col min="14" max="15" width="12.796875" style="9" customWidth="1"/>
    <col min="16" max="16" width="16.796875" style="9" customWidth="1"/>
    <col min="17" max="17" width="12.796875" style="9" customWidth="1"/>
    <col min="18" max="18" width="16.796875" style="9" customWidth="1"/>
    <col min="19" max="19" width="9" style="21"/>
    <col min="20" max="16384" width="9" style="9"/>
  </cols>
  <sheetData>
    <row r="1" spans="1:19" ht="15" customHeight="1">
      <c r="S1" s="9"/>
    </row>
    <row r="2" spans="1:19" ht="15" customHeight="1">
      <c r="A2" s="10"/>
      <c r="C2" s="34"/>
      <c r="D2" s="34"/>
      <c r="E2" s="34"/>
      <c r="F2" s="11"/>
      <c r="G2" s="12"/>
      <c r="H2" s="12"/>
      <c r="I2" s="13"/>
      <c r="J2" s="10"/>
      <c r="K2" s="10"/>
      <c r="L2" s="10"/>
      <c r="M2" s="10"/>
      <c r="N2" s="10"/>
      <c r="O2" s="10"/>
      <c r="P2" s="10"/>
      <c r="Q2" s="10"/>
      <c r="R2" s="10"/>
      <c r="S2" s="9"/>
    </row>
    <row r="3" spans="1:19" ht="15" customHeight="1">
      <c r="A3" s="10"/>
      <c r="C3" s="41"/>
      <c r="D3" s="41"/>
      <c r="E3" s="35"/>
      <c r="F3" s="11"/>
      <c r="G3" s="14"/>
      <c r="H3" s="14"/>
      <c r="I3" s="13"/>
      <c r="J3" s="10"/>
      <c r="K3" s="10"/>
      <c r="L3" s="10"/>
      <c r="M3" s="10"/>
      <c r="N3" s="10"/>
      <c r="O3" s="10"/>
      <c r="P3" s="10"/>
      <c r="Q3" s="10"/>
      <c r="R3" s="10"/>
      <c r="S3" s="9"/>
    </row>
    <row r="4" spans="1:19" ht="15" customHeight="1">
      <c r="A4" s="10"/>
      <c r="C4" s="41"/>
      <c r="D4" s="41"/>
      <c r="E4" s="36"/>
      <c r="F4" s="11"/>
      <c r="G4" s="15"/>
      <c r="H4" s="15"/>
      <c r="I4" s="13"/>
      <c r="J4" s="10"/>
      <c r="K4" s="10"/>
      <c r="L4" s="10"/>
      <c r="M4" s="10"/>
      <c r="N4" s="10"/>
      <c r="O4" s="10"/>
      <c r="P4" s="10"/>
      <c r="Q4" s="10"/>
      <c r="R4" s="10"/>
      <c r="S4" s="9"/>
    </row>
    <row r="5" spans="1:19" ht="15" customHeight="1">
      <c r="A5" s="10"/>
      <c r="C5" s="41"/>
      <c r="D5" s="41"/>
      <c r="E5" s="36"/>
      <c r="F5" s="16"/>
      <c r="G5" s="15"/>
      <c r="H5" s="15"/>
      <c r="I5" s="17"/>
      <c r="J5" s="10"/>
      <c r="K5" s="10"/>
      <c r="L5" s="10"/>
      <c r="M5" s="10"/>
      <c r="N5" s="10"/>
      <c r="O5" s="10"/>
      <c r="P5" s="10"/>
      <c r="Q5" s="10"/>
      <c r="R5" s="10"/>
      <c r="S5" s="9"/>
    </row>
    <row r="6" spans="1:19" ht="15" customHeight="1">
      <c r="A6" s="10"/>
      <c r="B6" s="18"/>
      <c r="C6" s="41"/>
      <c r="D6" s="41"/>
      <c r="E6" s="36"/>
      <c r="F6" s="18"/>
      <c r="G6" s="19"/>
      <c r="H6" s="19"/>
      <c r="I6" s="17"/>
      <c r="J6" s="10"/>
      <c r="K6" s="10"/>
      <c r="L6" s="10"/>
      <c r="M6" s="10"/>
      <c r="N6" s="10"/>
      <c r="O6" s="10"/>
      <c r="P6" s="10"/>
      <c r="Q6" s="10"/>
      <c r="R6" s="10"/>
      <c r="S6" s="9"/>
    </row>
    <row r="7" spans="1:19" ht="15" customHeight="1">
      <c r="A7" s="10"/>
      <c r="B7" s="18"/>
      <c r="F7" s="18"/>
      <c r="G7" s="19"/>
      <c r="H7" s="19"/>
      <c r="I7" s="17"/>
      <c r="J7" s="10"/>
      <c r="K7" s="10"/>
      <c r="L7" s="10"/>
      <c r="M7" s="10"/>
      <c r="N7" s="10"/>
      <c r="O7" s="10"/>
      <c r="P7" s="10"/>
      <c r="Q7" s="10"/>
      <c r="R7" s="10"/>
      <c r="S7" s="9"/>
    </row>
    <row r="8" spans="1:19" ht="15" customHeight="1">
      <c r="A8" s="10"/>
      <c r="B8" s="10"/>
      <c r="G8" s="13"/>
      <c r="H8" s="13"/>
      <c r="I8" s="13"/>
      <c r="J8" s="10"/>
      <c r="K8" s="10"/>
      <c r="L8" s="10"/>
      <c r="M8" s="10"/>
      <c r="N8" s="10"/>
      <c r="O8" s="10"/>
      <c r="P8" s="10"/>
      <c r="Q8" s="10"/>
      <c r="R8" s="10"/>
      <c r="S8" s="9"/>
    </row>
    <row r="9" spans="1:19" ht="39" customHeight="1">
      <c r="A9" s="32" t="s">
        <v>0</v>
      </c>
      <c r="B9" s="33" t="s">
        <v>1</v>
      </c>
      <c r="C9" s="33" t="s">
        <v>21</v>
      </c>
      <c r="D9" s="33" t="s">
        <v>5</v>
      </c>
      <c r="E9" s="33" t="s">
        <v>6</v>
      </c>
      <c r="F9" s="37" t="s">
        <v>35</v>
      </c>
      <c r="G9" s="33" t="s">
        <v>15</v>
      </c>
      <c r="H9" s="33" t="s">
        <v>16</v>
      </c>
      <c r="I9" s="33" t="s">
        <v>2</v>
      </c>
      <c r="J9" s="33" t="s">
        <v>3</v>
      </c>
      <c r="K9" s="33" t="s">
        <v>4</v>
      </c>
      <c r="L9" s="33" t="s">
        <v>7</v>
      </c>
      <c r="M9" s="33" t="s">
        <v>26</v>
      </c>
      <c r="N9" s="33" t="s">
        <v>11</v>
      </c>
      <c r="O9" s="33" t="s">
        <v>17</v>
      </c>
      <c r="P9" s="33" t="s">
        <v>18</v>
      </c>
      <c r="Q9" s="33" t="s">
        <v>96</v>
      </c>
      <c r="R9" s="33" t="s">
        <v>19</v>
      </c>
      <c r="S9" s="9"/>
    </row>
    <row r="10" spans="1:19" s="20" customFormat="1" ht="39.6">
      <c r="A10" s="31">
        <v>1</v>
      </c>
      <c r="B10" s="5" t="s">
        <v>48</v>
      </c>
      <c r="C10" s="5" t="s">
        <v>42</v>
      </c>
      <c r="D10" s="5" t="s">
        <v>8</v>
      </c>
      <c r="E10" s="5" t="s">
        <v>23</v>
      </c>
      <c r="F10" s="8"/>
      <c r="G10" s="6" t="s">
        <v>47</v>
      </c>
      <c r="H10" s="6" t="s">
        <v>43</v>
      </c>
      <c r="I10" s="6" t="s">
        <v>44</v>
      </c>
      <c r="J10" s="6" t="s">
        <v>45</v>
      </c>
      <c r="K10" s="6" t="s">
        <v>46</v>
      </c>
      <c r="L10" s="7"/>
      <c r="M10" s="7" t="s">
        <v>31</v>
      </c>
      <c r="N10" s="7" t="s">
        <v>37</v>
      </c>
      <c r="O10" s="5" t="s">
        <v>41</v>
      </c>
      <c r="P10" s="23">
        <v>44651.592233796298</v>
      </c>
      <c r="Q10" s="7" t="s">
        <v>41</v>
      </c>
      <c r="R10" s="23">
        <v>44651.592928240738</v>
      </c>
    </row>
    <row r="11" spans="1:19" s="20" customFormat="1" ht="210.6" hidden="1" customHeight="1">
      <c r="A11" s="31">
        <v>2</v>
      </c>
      <c r="B11" s="5" t="s">
        <v>49</v>
      </c>
      <c r="C11" s="5" t="s">
        <v>51</v>
      </c>
      <c r="D11" s="5" t="s">
        <v>8</v>
      </c>
      <c r="E11" s="5" t="s">
        <v>23</v>
      </c>
      <c r="F11" s="8"/>
      <c r="G11" s="6" t="s">
        <v>58</v>
      </c>
      <c r="H11" s="6" t="s">
        <v>249</v>
      </c>
      <c r="I11" s="6" t="s">
        <v>57</v>
      </c>
      <c r="J11" s="6" t="s">
        <v>52</v>
      </c>
      <c r="K11" s="6" t="s">
        <v>52</v>
      </c>
      <c r="L11" s="7"/>
      <c r="M11" s="7" t="s">
        <v>30</v>
      </c>
      <c r="N11" s="7" t="s">
        <v>37</v>
      </c>
      <c r="O11" s="5" t="s">
        <v>41</v>
      </c>
      <c r="P11" s="23">
        <v>44651.593287037038</v>
      </c>
      <c r="Q11" s="7" t="s">
        <v>41</v>
      </c>
      <c r="R11" s="23">
        <v>44651.59814814815</v>
      </c>
    </row>
    <row r="12" spans="1:19" s="20" customFormat="1" ht="211.8" hidden="1" customHeight="1">
      <c r="A12" s="31">
        <v>3</v>
      </c>
      <c r="B12" s="5" t="s">
        <v>49</v>
      </c>
      <c r="C12" s="5" t="s">
        <v>53</v>
      </c>
      <c r="D12" s="5" t="s">
        <v>8</v>
      </c>
      <c r="E12" s="5" t="s">
        <v>23</v>
      </c>
      <c r="F12" s="8"/>
      <c r="G12" s="6" t="s">
        <v>59</v>
      </c>
      <c r="H12" s="6" t="s">
        <v>54</v>
      </c>
      <c r="I12" s="6" t="s">
        <v>57</v>
      </c>
      <c r="J12" s="6" t="s">
        <v>52</v>
      </c>
      <c r="K12" s="6" t="s">
        <v>52</v>
      </c>
      <c r="L12" s="7"/>
      <c r="M12" s="7" t="s">
        <v>30</v>
      </c>
      <c r="N12" s="7" t="s">
        <v>37</v>
      </c>
      <c r="O12" s="5" t="s">
        <v>41</v>
      </c>
      <c r="P12" s="23">
        <v>44651.609537037039</v>
      </c>
      <c r="Q12" s="7" t="s">
        <v>41</v>
      </c>
      <c r="R12" s="23">
        <v>44651.612314814818</v>
      </c>
    </row>
    <row r="13" spans="1:19" s="20" customFormat="1" ht="39.6" hidden="1">
      <c r="A13" s="31">
        <v>4</v>
      </c>
      <c r="B13" s="5" t="s">
        <v>49</v>
      </c>
      <c r="C13" s="5" t="s">
        <v>55</v>
      </c>
      <c r="D13" s="5" t="s">
        <v>12</v>
      </c>
      <c r="E13" s="5" t="s">
        <v>23</v>
      </c>
      <c r="F13" s="8"/>
      <c r="G13" s="6" t="s">
        <v>60</v>
      </c>
      <c r="H13" s="6" t="s">
        <v>61</v>
      </c>
      <c r="I13" s="6" t="s">
        <v>56</v>
      </c>
      <c r="J13" s="6" t="s">
        <v>62</v>
      </c>
      <c r="K13" s="6" t="s">
        <v>63</v>
      </c>
      <c r="L13" s="7"/>
      <c r="M13" s="7" t="s">
        <v>30</v>
      </c>
      <c r="N13" s="7" t="s">
        <v>37</v>
      </c>
      <c r="O13" s="5" t="s">
        <v>41</v>
      </c>
      <c r="P13" s="23">
        <v>44651.61409722222</v>
      </c>
      <c r="Q13" s="7" t="s">
        <v>41</v>
      </c>
      <c r="R13" s="23">
        <v>44651.620347222219</v>
      </c>
    </row>
    <row r="14" spans="1:19" ht="39.6" hidden="1">
      <c r="A14" s="31">
        <v>5</v>
      </c>
      <c r="B14" s="5" t="s">
        <v>49</v>
      </c>
      <c r="C14" s="5" t="s">
        <v>64</v>
      </c>
      <c r="D14" s="5" t="s">
        <v>12</v>
      </c>
      <c r="E14" s="5" t="s">
        <v>23</v>
      </c>
      <c r="F14" s="8"/>
      <c r="G14" s="6" t="s">
        <v>65</v>
      </c>
      <c r="H14" s="6" t="s">
        <v>66</v>
      </c>
      <c r="I14" s="6" t="s">
        <v>67</v>
      </c>
      <c r="J14" s="6" t="s">
        <v>62</v>
      </c>
      <c r="K14" s="6" t="s">
        <v>63</v>
      </c>
      <c r="L14" s="7"/>
      <c r="M14" s="7" t="s">
        <v>30</v>
      </c>
      <c r="N14" s="7" t="s">
        <v>37</v>
      </c>
      <c r="O14" s="5" t="s">
        <v>41</v>
      </c>
      <c r="P14" s="23">
        <v>44651.620671296296</v>
      </c>
      <c r="Q14" s="7" t="s">
        <v>41</v>
      </c>
      <c r="R14" s="23">
        <v>44651.620671296296</v>
      </c>
    </row>
    <row r="15" spans="1:19" ht="39.6" hidden="1">
      <c r="A15" s="31">
        <v>6</v>
      </c>
      <c r="B15" s="5" t="s">
        <v>49</v>
      </c>
      <c r="C15" s="5" t="s">
        <v>68</v>
      </c>
      <c r="D15" s="5" t="s">
        <v>12</v>
      </c>
      <c r="E15" s="5" t="s">
        <v>23</v>
      </c>
      <c r="F15" s="8"/>
      <c r="G15" s="6" t="s">
        <v>69</v>
      </c>
      <c r="H15" s="6" t="s">
        <v>70</v>
      </c>
      <c r="I15" s="6" t="s">
        <v>71</v>
      </c>
      <c r="J15" s="6" t="s">
        <v>62</v>
      </c>
      <c r="K15" s="6" t="s">
        <v>63</v>
      </c>
      <c r="L15" s="7"/>
      <c r="M15" s="7" t="s">
        <v>30</v>
      </c>
      <c r="N15" s="7" t="s">
        <v>37</v>
      </c>
      <c r="O15" s="5" t="s">
        <v>41</v>
      </c>
      <c r="P15" s="23">
        <v>44651.621817129628</v>
      </c>
      <c r="Q15" s="7" t="s">
        <v>41</v>
      </c>
      <c r="R15" s="23">
        <v>44651.621817129628</v>
      </c>
    </row>
    <row r="16" spans="1:19" ht="39.6" hidden="1">
      <c r="A16" s="31">
        <v>7</v>
      </c>
      <c r="B16" s="5" t="s">
        <v>49</v>
      </c>
      <c r="C16" s="5" t="s">
        <v>72</v>
      </c>
      <c r="D16" s="5" t="s">
        <v>12</v>
      </c>
      <c r="E16" s="5" t="s">
        <v>23</v>
      </c>
      <c r="F16" s="8"/>
      <c r="G16" s="6" t="s">
        <v>73</v>
      </c>
      <c r="H16" s="6" t="s">
        <v>74</v>
      </c>
      <c r="I16" s="6" t="s">
        <v>75</v>
      </c>
      <c r="J16" s="6" t="s">
        <v>62</v>
      </c>
      <c r="K16" s="6" t="s">
        <v>63</v>
      </c>
      <c r="L16" s="7"/>
      <c r="M16" s="7" t="s">
        <v>30</v>
      </c>
      <c r="N16" s="7" t="s">
        <v>37</v>
      </c>
      <c r="O16" s="5" t="s">
        <v>41</v>
      </c>
      <c r="P16" s="23">
        <v>44651.622870370367</v>
      </c>
      <c r="Q16" s="7" t="s">
        <v>41</v>
      </c>
      <c r="R16" s="23">
        <v>44651.622870370367</v>
      </c>
    </row>
    <row r="17" spans="1:18" ht="39.6" hidden="1">
      <c r="A17" s="31">
        <v>8</v>
      </c>
      <c r="B17" s="5" t="s">
        <v>49</v>
      </c>
      <c r="C17" s="5" t="s">
        <v>76</v>
      </c>
      <c r="D17" s="5" t="s">
        <v>12</v>
      </c>
      <c r="E17" s="5" t="s">
        <v>23</v>
      </c>
      <c r="F17" s="8"/>
      <c r="G17" s="6" t="s">
        <v>80</v>
      </c>
      <c r="H17" s="6" t="s">
        <v>77</v>
      </c>
      <c r="I17" s="6" t="s">
        <v>78</v>
      </c>
      <c r="J17" s="6" t="s">
        <v>62</v>
      </c>
      <c r="K17" s="6" t="s">
        <v>63</v>
      </c>
      <c r="L17" s="7"/>
      <c r="M17" s="7" t="s">
        <v>30</v>
      </c>
      <c r="N17" s="7" t="s">
        <v>37</v>
      </c>
      <c r="O17" s="5" t="s">
        <v>41</v>
      </c>
      <c r="P17" s="23">
        <v>44651.624618055554</v>
      </c>
      <c r="Q17" s="7" t="s">
        <v>41</v>
      </c>
      <c r="R17" s="23">
        <v>44651.624618055554</v>
      </c>
    </row>
    <row r="18" spans="1:18" ht="39.6" hidden="1">
      <c r="A18" s="31">
        <v>9</v>
      </c>
      <c r="B18" s="5" t="s">
        <v>49</v>
      </c>
      <c r="C18" s="5" t="s">
        <v>79</v>
      </c>
      <c r="D18" s="5" t="s">
        <v>12</v>
      </c>
      <c r="E18" s="5" t="s">
        <v>23</v>
      </c>
      <c r="F18" s="8"/>
      <c r="G18" s="6" t="s">
        <v>81</v>
      </c>
      <c r="H18" s="6" t="s">
        <v>82</v>
      </c>
      <c r="I18" s="6" t="s">
        <v>83</v>
      </c>
      <c r="J18" s="6" t="s">
        <v>62</v>
      </c>
      <c r="K18" s="6" t="s">
        <v>63</v>
      </c>
      <c r="L18" s="7"/>
      <c r="M18" s="7" t="s">
        <v>30</v>
      </c>
      <c r="N18" s="7" t="s">
        <v>37</v>
      </c>
      <c r="O18" s="5" t="s">
        <v>41</v>
      </c>
      <c r="P18" s="23">
        <v>44651.625648148147</v>
      </c>
      <c r="Q18" s="7" t="s">
        <v>41</v>
      </c>
      <c r="R18" s="23">
        <v>44651.625648148147</v>
      </c>
    </row>
    <row r="19" spans="1:18" ht="39.6" hidden="1">
      <c r="A19" s="31">
        <v>10</v>
      </c>
      <c r="B19" s="5" t="s">
        <v>49</v>
      </c>
      <c r="C19" s="5" t="s">
        <v>84</v>
      </c>
      <c r="D19" s="5" t="s">
        <v>12</v>
      </c>
      <c r="E19" s="5" t="s">
        <v>23</v>
      </c>
      <c r="F19" s="8"/>
      <c r="G19" s="6" t="s">
        <v>85</v>
      </c>
      <c r="H19" s="6" t="s">
        <v>86</v>
      </c>
      <c r="I19" s="6" t="s">
        <v>87</v>
      </c>
      <c r="J19" s="6" t="s">
        <v>62</v>
      </c>
      <c r="K19" s="6" t="s">
        <v>63</v>
      </c>
      <c r="L19" s="7"/>
      <c r="M19" s="7" t="s">
        <v>30</v>
      </c>
      <c r="N19" s="7" t="s">
        <v>37</v>
      </c>
      <c r="O19" s="5" t="s">
        <v>41</v>
      </c>
      <c r="P19" s="23">
        <v>44651.627175925925</v>
      </c>
      <c r="Q19" s="7" t="s">
        <v>41</v>
      </c>
      <c r="R19" s="23">
        <v>44651.627175925925</v>
      </c>
    </row>
    <row r="20" spans="1:18" ht="39.6" hidden="1">
      <c r="A20" s="31">
        <v>11</v>
      </c>
      <c r="B20" s="5" t="s">
        <v>49</v>
      </c>
      <c r="C20" s="5" t="s">
        <v>88</v>
      </c>
      <c r="D20" s="5" t="s">
        <v>12</v>
      </c>
      <c r="E20" s="5" t="s">
        <v>23</v>
      </c>
      <c r="F20" s="8"/>
      <c r="G20" s="6" t="s">
        <v>92</v>
      </c>
      <c r="H20" s="6" t="s">
        <v>89</v>
      </c>
      <c r="I20" s="6" t="s">
        <v>90</v>
      </c>
      <c r="J20" s="6" t="s">
        <v>62</v>
      </c>
      <c r="K20" s="6" t="s">
        <v>63</v>
      </c>
      <c r="L20" s="7"/>
      <c r="M20" s="7" t="s">
        <v>30</v>
      </c>
      <c r="N20" s="7" t="s">
        <v>37</v>
      </c>
      <c r="O20" s="5" t="s">
        <v>41</v>
      </c>
      <c r="P20" s="23">
        <v>44651.627187500002</v>
      </c>
      <c r="Q20" s="7" t="s">
        <v>41</v>
      </c>
      <c r="R20" s="23">
        <v>44651.631354166668</v>
      </c>
    </row>
    <row r="21" spans="1:18" ht="39.6" hidden="1">
      <c r="A21" s="31">
        <v>12</v>
      </c>
      <c r="B21" s="5" t="s">
        <v>49</v>
      </c>
      <c r="C21" s="5" t="s">
        <v>91</v>
      </c>
      <c r="D21" s="5" t="s">
        <v>12</v>
      </c>
      <c r="E21" s="5" t="s">
        <v>23</v>
      </c>
      <c r="F21" s="8"/>
      <c r="G21" s="6" t="s">
        <v>93</v>
      </c>
      <c r="H21" s="6" t="s">
        <v>94</v>
      </c>
      <c r="I21" s="6" t="s">
        <v>95</v>
      </c>
      <c r="J21" s="6" t="s">
        <v>62</v>
      </c>
      <c r="K21" s="6" t="s">
        <v>63</v>
      </c>
      <c r="L21" s="7"/>
      <c r="M21" s="7" t="s">
        <v>30</v>
      </c>
      <c r="N21" s="7" t="s">
        <v>37</v>
      </c>
      <c r="O21" s="5" t="s">
        <v>41</v>
      </c>
      <c r="P21" s="23">
        <v>44651.629849537036</v>
      </c>
      <c r="Q21" s="7" t="s">
        <v>41</v>
      </c>
      <c r="R21" s="23">
        <v>44651.631932870368</v>
      </c>
    </row>
    <row r="22" spans="1:18" ht="39.6" hidden="1">
      <c r="A22" s="31">
        <v>13</v>
      </c>
      <c r="B22" s="5" t="s">
        <v>49</v>
      </c>
      <c r="C22" s="5" t="s">
        <v>97</v>
      </c>
      <c r="D22" s="5" t="s">
        <v>12</v>
      </c>
      <c r="E22" s="5" t="s">
        <v>23</v>
      </c>
      <c r="F22" s="8"/>
      <c r="G22" s="6" t="s">
        <v>98</v>
      </c>
      <c r="H22" s="6" t="s">
        <v>99</v>
      </c>
      <c r="I22" s="6" t="s">
        <v>100</v>
      </c>
      <c r="J22" s="6" t="s">
        <v>62</v>
      </c>
      <c r="K22" s="6" t="s">
        <v>63</v>
      </c>
      <c r="L22" s="7"/>
      <c r="M22" s="7" t="s">
        <v>30</v>
      </c>
      <c r="N22" s="7" t="s">
        <v>37</v>
      </c>
      <c r="O22" s="5" t="s">
        <v>41</v>
      </c>
      <c r="P22" s="23">
        <v>44651.632037037038</v>
      </c>
      <c r="Q22" s="7" t="s">
        <v>41</v>
      </c>
      <c r="R22" s="23">
        <v>44651.637592592589</v>
      </c>
    </row>
    <row r="23" spans="1:18" ht="59.4" hidden="1" customHeight="1">
      <c r="A23" s="31">
        <v>14</v>
      </c>
      <c r="B23" s="5" t="s">
        <v>49</v>
      </c>
      <c r="C23" s="5" t="s">
        <v>101</v>
      </c>
      <c r="D23" s="5" t="s">
        <v>12</v>
      </c>
      <c r="E23" s="5" t="s">
        <v>23</v>
      </c>
      <c r="F23" s="8"/>
      <c r="G23" s="6" t="s">
        <v>102</v>
      </c>
      <c r="H23" s="6" t="s">
        <v>103</v>
      </c>
      <c r="I23" s="6" t="s">
        <v>104</v>
      </c>
      <c r="J23" s="6" t="s">
        <v>62</v>
      </c>
      <c r="K23" s="6" t="s">
        <v>63</v>
      </c>
      <c r="L23" s="7"/>
      <c r="M23" s="7" t="s">
        <v>30</v>
      </c>
      <c r="N23" s="7" t="s">
        <v>37</v>
      </c>
      <c r="O23" s="5" t="s">
        <v>41</v>
      </c>
      <c r="P23" s="23">
        <v>44651.63789351852</v>
      </c>
      <c r="Q23" s="7" t="s">
        <v>41</v>
      </c>
      <c r="R23" s="23">
        <v>44651.639976851853</v>
      </c>
    </row>
    <row r="24" spans="1:18" ht="65.400000000000006" hidden="1" customHeight="1">
      <c r="A24" s="31">
        <v>15</v>
      </c>
      <c r="B24" s="5" t="s">
        <v>49</v>
      </c>
      <c r="C24" s="5" t="s">
        <v>105</v>
      </c>
      <c r="D24" s="5" t="s">
        <v>12</v>
      </c>
      <c r="E24" s="5" t="s">
        <v>23</v>
      </c>
      <c r="F24" s="8"/>
      <c r="G24" s="6" t="s">
        <v>106</v>
      </c>
      <c r="H24" s="6" t="s">
        <v>108</v>
      </c>
      <c r="I24" s="6" t="s">
        <v>107</v>
      </c>
      <c r="J24" s="6" t="s">
        <v>62</v>
      </c>
      <c r="K24" s="6" t="s">
        <v>63</v>
      </c>
      <c r="L24" s="7"/>
      <c r="M24" s="7" t="s">
        <v>30</v>
      </c>
      <c r="N24" s="7" t="s">
        <v>37</v>
      </c>
      <c r="O24" s="5" t="s">
        <v>41</v>
      </c>
      <c r="P24" s="23">
        <v>44651.64</v>
      </c>
      <c r="Q24" s="7" t="s">
        <v>41</v>
      </c>
      <c r="R24" s="23">
        <v>44651.64</v>
      </c>
    </row>
    <row r="25" spans="1:18" ht="61.2" hidden="1" customHeight="1">
      <c r="A25" s="31">
        <v>16</v>
      </c>
      <c r="B25" s="5" t="s">
        <v>49</v>
      </c>
      <c r="C25" s="5" t="s">
        <v>109</v>
      </c>
      <c r="D25" s="5" t="s">
        <v>12</v>
      </c>
      <c r="E25" s="5" t="s">
        <v>23</v>
      </c>
      <c r="F25" s="8"/>
      <c r="G25" s="6" t="s">
        <v>110</v>
      </c>
      <c r="H25" s="6" t="s">
        <v>111</v>
      </c>
      <c r="I25" s="6" t="s">
        <v>112</v>
      </c>
      <c r="J25" s="6" t="s">
        <v>62</v>
      </c>
      <c r="K25" s="6" t="s">
        <v>63</v>
      </c>
      <c r="L25" s="7"/>
      <c r="M25" s="7" t="s">
        <v>30</v>
      </c>
      <c r="N25" s="7" t="s">
        <v>37</v>
      </c>
      <c r="O25" s="5" t="s">
        <v>41</v>
      </c>
      <c r="P25" s="23">
        <v>44651.645648148151</v>
      </c>
      <c r="Q25" s="7" t="s">
        <v>41</v>
      </c>
      <c r="R25" s="23">
        <v>44651.647037037037</v>
      </c>
    </row>
    <row r="26" spans="1:18" ht="52.8" hidden="1">
      <c r="A26" s="31">
        <v>17</v>
      </c>
      <c r="B26" s="5" t="s">
        <v>49</v>
      </c>
      <c r="C26" s="5" t="s">
        <v>113</v>
      </c>
      <c r="D26" s="5" t="s">
        <v>12</v>
      </c>
      <c r="E26" s="5" t="s">
        <v>23</v>
      </c>
      <c r="F26" s="8"/>
      <c r="G26" s="6" t="s">
        <v>114</v>
      </c>
      <c r="H26" s="6" t="s">
        <v>116</v>
      </c>
      <c r="I26" s="6" t="s">
        <v>115</v>
      </c>
      <c r="J26" s="6" t="s">
        <v>62</v>
      </c>
      <c r="K26" s="6" t="s">
        <v>63</v>
      </c>
      <c r="L26" s="7"/>
      <c r="M26" s="7" t="s">
        <v>30</v>
      </c>
      <c r="N26" s="7" t="s">
        <v>37</v>
      </c>
      <c r="O26" s="5" t="s">
        <v>41</v>
      </c>
      <c r="P26" s="23">
        <v>44651.647245370368</v>
      </c>
      <c r="Q26" s="7" t="s">
        <v>41</v>
      </c>
      <c r="R26" s="23">
        <v>44651.648634259262</v>
      </c>
    </row>
    <row r="27" spans="1:18" ht="52.8" hidden="1">
      <c r="A27" s="31">
        <v>18</v>
      </c>
      <c r="B27" s="5" t="s">
        <v>49</v>
      </c>
      <c r="C27" s="5" t="s">
        <v>117</v>
      </c>
      <c r="D27" s="5" t="s">
        <v>12</v>
      </c>
      <c r="E27" s="5" t="s">
        <v>23</v>
      </c>
      <c r="F27" s="8"/>
      <c r="G27" s="6" t="s">
        <v>118</v>
      </c>
      <c r="H27" s="6" t="s">
        <v>120</v>
      </c>
      <c r="I27" s="6" t="s">
        <v>119</v>
      </c>
      <c r="J27" s="6" t="s">
        <v>62</v>
      </c>
      <c r="K27" s="6" t="s">
        <v>63</v>
      </c>
      <c r="L27" s="7"/>
      <c r="M27" s="7" t="s">
        <v>30</v>
      </c>
      <c r="N27" s="7" t="s">
        <v>37</v>
      </c>
      <c r="O27" s="5" t="s">
        <v>41</v>
      </c>
      <c r="P27" s="23">
        <v>44651.677199074074</v>
      </c>
      <c r="Q27" s="7" t="s">
        <v>41</v>
      </c>
      <c r="R27" s="23">
        <v>44651.678587962961</v>
      </c>
    </row>
    <row r="28" spans="1:18" ht="52.8" hidden="1">
      <c r="A28" s="31">
        <v>19</v>
      </c>
      <c r="B28" s="5" t="s">
        <v>49</v>
      </c>
      <c r="C28" s="5" t="s">
        <v>121</v>
      </c>
      <c r="D28" s="5" t="s">
        <v>12</v>
      </c>
      <c r="E28" s="5" t="s">
        <v>23</v>
      </c>
      <c r="F28" s="8"/>
      <c r="G28" s="6" t="s">
        <v>122</v>
      </c>
      <c r="H28" s="6" t="s">
        <v>127</v>
      </c>
      <c r="I28" s="6" t="s">
        <v>123</v>
      </c>
      <c r="J28" s="6" t="s">
        <v>62</v>
      </c>
      <c r="K28" s="6" t="s">
        <v>63</v>
      </c>
      <c r="L28" s="7"/>
      <c r="M28" s="7" t="s">
        <v>30</v>
      </c>
      <c r="N28" s="7" t="s">
        <v>37</v>
      </c>
      <c r="O28" s="5" t="s">
        <v>41</v>
      </c>
      <c r="P28" s="23">
        <v>44651.678622685184</v>
      </c>
      <c r="Q28" s="7" t="s">
        <v>41</v>
      </c>
      <c r="R28" s="23">
        <v>44651.678622685184</v>
      </c>
    </row>
    <row r="29" spans="1:18" ht="52.8" hidden="1">
      <c r="A29" s="31">
        <v>20</v>
      </c>
      <c r="B29" s="5" t="s">
        <v>49</v>
      </c>
      <c r="C29" s="5" t="s">
        <v>124</v>
      </c>
      <c r="D29" s="5" t="s">
        <v>12</v>
      </c>
      <c r="E29" s="5" t="s">
        <v>23</v>
      </c>
      <c r="F29" s="8"/>
      <c r="G29" s="6" t="s">
        <v>125</v>
      </c>
      <c r="H29" s="6" t="s">
        <v>128</v>
      </c>
      <c r="I29" s="6" t="s">
        <v>126</v>
      </c>
      <c r="J29" s="6" t="s">
        <v>62</v>
      </c>
      <c r="K29" s="6" t="s">
        <v>63</v>
      </c>
      <c r="L29" s="7"/>
      <c r="M29" s="7" t="s">
        <v>30</v>
      </c>
      <c r="N29" s="7" t="s">
        <v>37</v>
      </c>
      <c r="O29" s="5" t="s">
        <v>41</v>
      </c>
      <c r="P29" s="23">
        <v>44651.680138888885</v>
      </c>
      <c r="Q29" s="7" t="s">
        <v>41</v>
      </c>
      <c r="R29" s="23">
        <v>44651.680138888885</v>
      </c>
    </row>
    <row r="30" spans="1:18" ht="52.8" hidden="1">
      <c r="A30" s="31">
        <v>21</v>
      </c>
      <c r="B30" s="5" t="s">
        <v>49</v>
      </c>
      <c r="C30" s="5" t="s">
        <v>129</v>
      </c>
      <c r="D30" s="5" t="s">
        <v>12</v>
      </c>
      <c r="E30" s="5" t="s">
        <v>23</v>
      </c>
      <c r="F30" s="8"/>
      <c r="G30" s="6" t="s">
        <v>130</v>
      </c>
      <c r="H30" s="6" t="s">
        <v>167</v>
      </c>
      <c r="I30" s="6" t="s">
        <v>131</v>
      </c>
      <c r="J30" s="6" t="s">
        <v>62</v>
      </c>
      <c r="K30" s="6" t="s">
        <v>63</v>
      </c>
      <c r="L30" s="7"/>
      <c r="M30" s="7" t="s">
        <v>30</v>
      </c>
      <c r="N30" s="7" t="s">
        <v>37</v>
      </c>
      <c r="O30" s="5" t="s">
        <v>41</v>
      </c>
      <c r="P30" s="23">
        <v>44651.681840277779</v>
      </c>
      <c r="Q30" s="7" t="s">
        <v>41</v>
      </c>
      <c r="R30" s="23">
        <v>44651.681840277779</v>
      </c>
    </row>
    <row r="31" spans="1:18" ht="52.8" hidden="1">
      <c r="A31" s="31">
        <v>22</v>
      </c>
      <c r="B31" s="5" t="s">
        <v>49</v>
      </c>
      <c r="C31" s="5" t="s">
        <v>132</v>
      </c>
      <c r="D31" s="5" t="s">
        <v>12</v>
      </c>
      <c r="E31" s="5" t="s">
        <v>23</v>
      </c>
      <c r="F31" s="8"/>
      <c r="G31" s="6" t="s">
        <v>133</v>
      </c>
      <c r="H31" s="6" t="s">
        <v>168</v>
      </c>
      <c r="I31" s="6" t="s">
        <v>134</v>
      </c>
      <c r="J31" s="6" t="s">
        <v>62</v>
      </c>
      <c r="K31" s="6" t="s">
        <v>63</v>
      </c>
      <c r="L31" s="7"/>
      <c r="M31" s="7" t="s">
        <v>30</v>
      </c>
      <c r="N31" s="7" t="s">
        <v>37</v>
      </c>
      <c r="O31" s="5" t="s">
        <v>41</v>
      </c>
      <c r="P31" s="23">
        <v>44651.683229166665</v>
      </c>
      <c r="Q31" s="7" t="s">
        <v>41</v>
      </c>
      <c r="R31" s="23">
        <v>44651.683229166665</v>
      </c>
    </row>
    <row r="32" spans="1:18" ht="52.8" hidden="1">
      <c r="A32" s="31">
        <v>23</v>
      </c>
      <c r="B32" s="5" t="s">
        <v>49</v>
      </c>
      <c r="C32" s="5" t="s">
        <v>135</v>
      </c>
      <c r="D32" s="5" t="s">
        <v>12</v>
      </c>
      <c r="E32" s="5" t="s">
        <v>23</v>
      </c>
      <c r="F32" s="8"/>
      <c r="G32" s="6" t="s">
        <v>136</v>
      </c>
      <c r="H32" s="6" t="s">
        <v>169</v>
      </c>
      <c r="I32" s="6" t="s">
        <v>137</v>
      </c>
      <c r="J32" s="6" t="s">
        <v>62</v>
      </c>
      <c r="K32" s="6" t="s">
        <v>63</v>
      </c>
      <c r="L32" s="7"/>
      <c r="M32" s="7" t="s">
        <v>30</v>
      </c>
      <c r="N32" s="7" t="s">
        <v>37</v>
      </c>
      <c r="O32" s="5" t="s">
        <v>41</v>
      </c>
      <c r="P32" s="23">
        <v>44651.68445601852</v>
      </c>
      <c r="Q32" s="7" t="s">
        <v>41</v>
      </c>
      <c r="R32" s="23">
        <v>44651.68445601852</v>
      </c>
    </row>
    <row r="33" spans="1:18" ht="52.8" hidden="1">
      <c r="A33" s="31">
        <v>24</v>
      </c>
      <c r="B33" s="5" t="s">
        <v>49</v>
      </c>
      <c r="C33" s="5" t="s">
        <v>138</v>
      </c>
      <c r="D33" s="5" t="s">
        <v>12</v>
      </c>
      <c r="E33" s="5" t="s">
        <v>23</v>
      </c>
      <c r="F33" s="8"/>
      <c r="G33" s="6" t="s">
        <v>139</v>
      </c>
      <c r="H33" s="6" t="s">
        <v>170</v>
      </c>
      <c r="I33" s="6" t="s">
        <v>140</v>
      </c>
      <c r="J33" s="6" t="s">
        <v>62</v>
      </c>
      <c r="K33" s="6" t="s">
        <v>63</v>
      </c>
      <c r="L33" s="7"/>
      <c r="M33" s="7" t="s">
        <v>30</v>
      </c>
      <c r="N33" s="7" t="s">
        <v>37</v>
      </c>
      <c r="O33" s="5" t="s">
        <v>41</v>
      </c>
      <c r="P33" s="23">
        <v>44651.686041666668</v>
      </c>
      <c r="Q33" s="7" t="s">
        <v>41</v>
      </c>
      <c r="R33" s="23">
        <v>44651.686041666668</v>
      </c>
    </row>
    <row r="34" spans="1:18" ht="52.8" hidden="1">
      <c r="A34" s="31">
        <v>25</v>
      </c>
      <c r="B34" s="5" t="s">
        <v>49</v>
      </c>
      <c r="C34" s="5" t="s">
        <v>141</v>
      </c>
      <c r="D34" s="5" t="s">
        <v>12</v>
      </c>
      <c r="E34" s="5" t="s">
        <v>23</v>
      </c>
      <c r="F34" s="8"/>
      <c r="G34" s="6" t="s">
        <v>142</v>
      </c>
      <c r="H34" s="6" t="s">
        <v>171</v>
      </c>
      <c r="I34" s="6" t="s">
        <v>140</v>
      </c>
      <c r="J34" s="6" t="s">
        <v>62</v>
      </c>
      <c r="K34" s="6" t="s">
        <v>63</v>
      </c>
      <c r="L34" s="7"/>
      <c r="M34" s="7" t="s">
        <v>30</v>
      </c>
      <c r="N34" s="7" t="s">
        <v>37</v>
      </c>
      <c r="O34" s="5" t="s">
        <v>41</v>
      </c>
      <c r="P34" s="23">
        <v>44651.690972222219</v>
      </c>
      <c r="Q34" s="7" t="s">
        <v>41</v>
      </c>
      <c r="R34" s="23">
        <v>44651.690972222219</v>
      </c>
    </row>
    <row r="35" spans="1:18" ht="92.4" hidden="1">
      <c r="A35" s="31">
        <v>26</v>
      </c>
      <c r="B35" s="5" t="s">
        <v>49</v>
      </c>
      <c r="C35" s="5" t="s">
        <v>143</v>
      </c>
      <c r="D35" s="5" t="s">
        <v>8</v>
      </c>
      <c r="E35" s="5" t="s">
        <v>23</v>
      </c>
      <c r="F35" s="8"/>
      <c r="G35" s="6" t="s">
        <v>144</v>
      </c>
      <c r="H35" s="6" t="s">
        <v>172</v>
      </c>
      <c r="I35" s="6" t="s">
        <v>159</v>
      </c>
      <c r="J35" s="6" t="s">
        <v>52</v>
      </c>
      <c r="K35" s="6" t="s">
        <v>52</v>
      </c>
      <c r="L35" s="7"/>
      <c r="M35" s="7" t="s">
        <v>30</v>
      </c>
      <c r="N35" s="7" t="s">
        <v>37</v>
      </c>
      <c r="O35" s="5" t="s">
        <v>41</v>
      </c>
      <c r="P35" s="23">
        <v>44651.692743055559</v>
      </c>
      <c r="Q35" s="7" t="s">
        <v>41</v>
      </c>
      <c r="R35" s="23">
        <v>44651.692743055559</v>
      </c>
    </row>
    <row r="36" spans="1:18" ht="105.6" hidden="1">
      <c r="A36" s="31">
        <v>27</v>
      </c>
      <c r="B36" s="5" t="s">
        <v>49</v>
      </c>
      <c r="C36" s="5" t="s">
        <v>145</v>
      </c>
      <c r="D36" s="5" t="s">
        <v>8</v>
      </c>
      <c r="E36" s="5" t="s">
        <v>23</v>
      </c>
      <c r="F36" s="8"/>
      <c r="G36" s="6" t="s">
        <v>147</v>
      </c>
      <c r="H36" s="6" t="s">
        <v>173</v>
      </c>
      <c r="I36" s="6" t="s">
        <v>158</v>
      </c>
      <c r="J36" s="6" t="s">
        <v>52</v>
      </c>
      <c r="K36" s="6" t="s">
        <v>52</v>
      </c>
      <c r="L36" s="7"/>
      <c r="M36" s="7" t="s">
        <v>30</v>
      </c>
      <c r="N36" s="7" t="s">
        <v>37</v>
      </c>
      <c r="O36" s="5" t="s">
        <v>41</v>
      </c>
      <c r="P36" s="23">
        <v>44651.697314814817</v>
      </c>
      <c r="Q36" s="7" t="s">
        <v>41</v>
      </c>
      <c r="R36" s="23">
        <v>44651.697314814817</v>
      </c>
    </row>
    <row r="37" spans="1:18" ht="105.6" hidden="1">
      <c r="A37" s="31">
        <v>28</v>
      </c>
      <c r="B37" s="5" t="s">
        <v>49</v>
      </c>
      <c r="C37" s="5" t="s">
        <v>146</v>
      </c>
      <c r="D37" s="5" t="s">
        <v>8</v>
      </c>
      <c r="E37" s="5" t="s">
        <v>23</v>
      </c>
      <c r="F37" s="8"/>
      <c r="G37" s="6" t="s">
        <v>148</v>
      </c>
      <c r="H37" s="6" t="s">
        <v>174</v>
      </c>
      <c r="I37" s="6" t="s">
        <v>157</v>
      </c>
      <c r="J37" s="6" t="s">
        <v>52</v>
      </c>
      <c r="K37" s="6" t="s">
        <v>52</v>
      </c>
      <c r="L37" s="7"/>
      <c r="M37" s="7" t="s">
        <v>30</v>
      </c>
      <c r="N37" s="7" t="s">
        <v>37</v>
      </c>
      <c r="O37" s="5" t="s">
        <v>41</v>
      </c>
      <c r="P37" s="23">
        <v>44651.700775462959</v>
      </c>
      <c r="Q37" s="7" t="s">
        <v>41</v>
      </c>
      <c r="R37" s="23">
        <v>44651.709803240738</v>
      </c>
    </row>
    <row r="38" spans="1:18" ht="105.6" hidden="1">
      <c r="A38" s="31">
        <v>29</v>
      </c>
      <c r="B38" s="5" t="s">
        <v>49</v>
      </c>
      <c r="C38" s="5" t="s">
        <v>149</v>
      </c>
      <c r="D38" s="5" t="s">
        <v>8</v>
      </c>
      <c r="E38" s="5" t="s">
        <v>23</v>
      </c>
      <c r="F38" s="8"/>
      <c r="G38" s="6" t="s">
        <v>150</v>
      </c>
      <c r="H38" s="6" t="s">
        <v>175</v>
      </c>
      <c r="I38" s="6" t="s">
        <v>156</v>
      </c>
      <c r="J38" s="6" t="s">
        <v>52</v>
      </c>
      <c r="K38" s="6" t="s">
        <v>52</v>
      </c>
      <c r="L38" s="7"/>
      <c r="M38" s="7" t="s">
        <v>30</v>
      </c>
      <c r="N38" s="7" t="s">
        <v>37</v>
      </c>
      <c r="O38" s="5" t="s">
        <v>41</v>
      </c>
      <c r="P38" s="23">
        <v>44651.710069444445</v>
      </c>
      <c r="Q38" s="7" t="s">
        <v>41</v>
      </c>
      <c r="R38" s="23">
        <v>44651.710069444445</v>
      </c>
    </row>
    <row r="39" spans="1:18" ht="105.6" hidden="1">
      <c r="A39" s="31">
        <v>30</v>
      </c>
      <c r="B39" s="5" t="s">
        <v>49</v>
      </c>
      <c r="C39" s="5" t="s">
        <v>151</v>
      </c>
      <c r="D39" s="5" t="s">
        <v>8</v>
      </c>
      <c r="E39" s="5" t="s">
        <v>23</v>
      </c>
      <c r="F39" s="8"/>
      <c r="G39" s="6" t="s">
        <v>152</v>
      </c>
      <c r="H39" s="6" t="s">
        <v>176</v>
      </c>
      <c r="I39" s="6" t="s">
        <v>155</v>
      </c>
      <c r="J39" s="6" t="s">
        <v>52</v>
      </c>
      <c r="K39" s="6" t="s">
        <v>52</v>
      </c>
      <c r="L39" s="7"/>
      <c r="M39" s="7" t="s">
        <v>30</v>
      </c>
      <c r="N39" s="7" t="s">
        <v>37</v>
      </c>
      <c r="O39" s="5" t="s">
        <v>41</v>
      </c>
      <c r="P39" s="23">
        <v>44651.771724537037</v>
      </c>
      <c r="Q39" s="7" t="s">
        <v>41</v>
      </c>
      <c r="R39" s="23">
        <v>44651.771724537037</v>
      </c>
    </row>
    <row r="40" spans="1:18" ht="118.8" hidden="1">
      <c r="A40" s="31">
        <v>31</v>
      </c>
      <c r="B40" s="5" t="s">
        <v>49</v>
      </c>
      <c r="C40" s="5" t="s">
        <v>153</v>
      </c>
      <c r="D40" s="5" t="s">
        <v>8</v>
      </c>
      <c r="E40" s="5" t="s">
        <v>23</v>
      </c>
      <c r="F40" s="8"/>
      <c r="G40" s="6" t="s">
        <v>154</v>
      </c>
      <c r="H40" s="6" t="s">
        <v>177</v>
      </c>
      <c r="I40" s="6" t="s">
        <v>160</v>
      </c>
      <c r="J40" s="6" t="s">
        <v>52</v>
      </c>
      <c r="K40" s="6" t="s">
        <v>52</v>
      </c>
      <c r="L40" s="7"/>
      <c r="M40" s="7" t="s">
        <v>30</v>
      </c>
      <c r="N40" s="7" t="s">
        <v>37</v>
      </c>
      <c r="O40" s="5" t="s">
        <v>41</v>
      </c>
      <c r="P40" s="23">
        <v>44651.775821759256</v>
      </c>
      <c r="Q40" s="7" t="s">
        <v>41</v>
      </c>
      <c r="R40" s="23">
        <v>44651.775821759256</v>
      </c>
    </row>
    <row r="41" spans="1:18" ht="118.8" hidden="1">
      <c r="A41" s="31">
        <v>32</v>
      </c>
      <c r="B41" s="5" t="s">
        <v>49</v>
      </c>
      <c r="C41" s="5" t="s">
        <v>161</v>
      </c>
      <c r="D41" s="5" t="s">
        <v>8</v>
      </c>
      <c r="E41" s="5" t="s">
        <v>23</v>
      </c>
      <c r="F41" s="8"/>
      <c r="G41" s="6" t="s">
        <v>162</v>
      </c>
      <c r="H41" s="6" t="s">
        <v>178</v>
      </c>
      <c r="I41" s="6" t="s">
        <v>163</v>
      </c>
      <c r="J41" s="6" t="s">
        <v>52</v>
      </c>
      <c r="K41" s="6" t="s">
        <v>52</v>
      </c>
      <c r="L41" s="7"/>
      <c r="M41" s="7" t="s">
        <v>30</v>
      </c>
      <c r="N41" s="7" t="s">
        <v>37</v>
      </c>
      <c r="O41" s="5" t="s">
        <v>41</v>
      </c>
      <c r="P41" s="23">
        <v>44651.778946759259</v>
      </c>
      <c r="Q41" s="7" t="s">
        <v>41</v>
      </c>
      <c r="R41" s="23">
        <v>44651.778946759259</v>
      </c>
    </row>
    <row r="42" spans="1:18" ht="118.8" hidden="1">
      <c r="A42" s="31">
        <v>33</v>
      </c>
      <c r="B42" s="5" t="s">
        <v>49</v>
      </c>
      <c r="C42" s="5" t="s">
        <v>164</v>
      </c>
      <c r="D42" s="5" t="s">
        <v>8</v>
      </c>
      <c r="E42" s="5" t="s">
        <v>23</v>
      </c>
      <c r="F42" s="8"/>
      <c r="G42" s="6" t="s">
        <v>180</v>
      </c>
      <c r="H42" s="6" t="s">
        <v>179</v>
      </c>
      <c r="I42" s="6" t="s">
        <v>165</v>
      </c>
      <c r="J42" s="6" t="s">
        <v>52</v>
      </c>
      <c r="K42" s="6" t="s">
        <v>52</v>
      </c>
      <c r="L42" s="7"/>
      <c r="M42" s="7" t="s">
        <v>30</v>
      </c>
      <c r="N42" s="7" t="s">
        <v>37</v>
      </c>
      <c r="O42" s="5" t="s">
        <v>41</v>
      </c>
      <c r="P42" s="23">
        <v>44651.781469907408</v>
      </c>
      <c r="Q42" s="7" t="s">
        <v>41</v>
      </c>
      <c r="R42" s="23">
        <v>44651.781469907408</v>
      </c>
    </row>
    <row r="43" spans="1:18" ht="118.8" hidden="1">
      <c r="A43" s="31">
        <v>34</v>
      </c>
      <c r="B43" s="5" t="s">
        <v>49</v>
      </c>
      <c r="C43" s="5" t="s">
        <v>166</v>
      </c>
      <c r="D43" s="5" t="s">
        <v>8</v>
      </c>
      <c r="E43" s="5" t="s">
        <v>23</v>
      </c>
      <c r="F43" s="8"/>
      <c r="G43" s="6" t="s">
        <v>181</v>
      </c>
      <c r="H43" s="6" t="s">
        <v>183</v>
      </c>
      <c r="I43" s="6" t="s">
        <v>182</v>
      </c>
      <c r="J43" s="6" t="s">
        <v>52</v>
      </c>
      <c r="K43" s="6" t="s">
        <v>52</v>
      </c>
      <c r="L43" s="7"/>
      <c r="M43" s="7" t="s">
        <v>30</v>
      </c>
      <c r="N43" s="7" t="s">
        <v>37</v>
      </c>
      <c r="O43" s="5" t="s">
        <v>41</v>
      </c>
      <c r="P43" s="23">
        <v>44651.784143518518</v>
      </c>
      <c r="Q43" s="7" t="s">
        <v>41</v>
      </c>
      <c r="R43" s="23">
        <v>44651.814699074072</v>
      </c>
    </row>
    <row r="44" spans="1:18" ht="15" hidden="1" customHeight="1">
      <c r="A44" s="31">
        <v>35</v>
      </c>
      <c r="B44" s="5" t="s">
        <v>49</v>
      </c>
      <c r="C44" s="5" t="s">
        <v>184</v>
      </c>
      <c r="D44" s="5" t="s">
        <v>8</v>
      </c>
      <c r="E44" s="5" t="s">
        <v>23</v>
      </c>
      <c r="F44" s="8"/>
      <c r="G44" s="6" t="s">
        <v>185</v>
      </c>
      <c r="H44" s="6" t="s">
        <v>186</v>
      </c>
      <c r="I44" s="6" t="s">
        <v>187</v>
      </c>
      <c r="J44" s="6" t="s">
        <v>52</v>
      </c>
      <c r="K44" s="6" t="s">
        <v>52</v>
      </c>
      <c r="L44" s="7"/>
      <c r="M44" s="7" t="s">
        <v>30</v>
      </c>
      <c r="N44" s="7" t="s">
        <v>37</v>
      </c>
      <c r="O44" s="5" t="s">
        <v>41</v>
      </c>
      <c r="P44" s="23">
        <v>44651.815254629626</v>
      </c>
      <c r="Q44" s="7" t="s">
        <v>41</v>
      </c>
      <c r="R44" s="23">
        <v>44651.815254629626</v>
      </c>
    </row>
    <row r="45" spans="1:18" ht="15" hidden="1" customHeight="1">
      <c r="A45" s="31">
        <v>36</v>
      </c>
      <c r="B45" s="5" t="s">
        <v>49</v>
      </c>
      <c r="C45" s="5" t="s">
        <v>190</v>
      </c>
      <c r="D45" s="5" t="s">
        <v>8</v>
      </c>
      <c r="E45" s="5" t="s">
        <v>23</v>
      </c>
      <c r="F45" s="8"/>
      <c r="G45" s="6" t="s">
        <v>192</v>
      </c>
      <c r="H45" s="6" t="s">
        <v>189</v>
      </c>
      <c r="I45" s="6" t="s">
        <v>188</v>
      </c>
      <c r="J45" s="6" t="s">
        <v>52</v>
      </c>
      <c r="K45" s="6" t="s">
        <v>52</v>
      </c>
      <c r="L45" s="7"/>
      <c r="M45" s="7" t="s">
        <v>30</v>
      </c>
      <c r="N45" s="7" t="s">
        <v>37</v>
      </c>
      <c r="O45" s="5" t="s">
        <v>41</v>
      </c>
      <c r="P45" s="23">
        <v>44651.81753472222</v>
      </c>
      <c r="Q45" s="7" t="s">
        <v>41</v>
      </c>
      <c r="R45" s="23">
        <v>44651.81753472222</v>
      </c>
    </row>
    <row r="46" spans="1:18" ht="15" hidden="1" customHeight="1">
      <c r="A46" s="31">
        <v>37</v>
      </c>
      <c r="B46" s="5" t="s">
        <v>49</v>
      </c>
      <c r="C46" s="5" t="s">
        <v>191</v>
      </c>
      <c r="D46" s="5" t="s">
        <v>8</v>
      </c>
      <c r="E46" s="5" t="s">
        <v>23</v>
      </c>
      <c r="F46" s="8"/>
      <c r="G46" s="6" t="s">
        <v>193</v>
      </c>
      <c r="H46" s="6" t="s">
        <v>195</v>
      </c>
      <c r="I46" s="6" t="s">
        <v>194</v>
      </c>
      <c r="J46" s="6" t="s">
        <v>52</v>
      </c>
      <c r="K46" s="6" t="s">
        <v>52</v>
      </c>
      <c r="L46" s="7"/>
      <c r="M46" s="7" t="s">
        <v>30</v>
      </c>
      <c r="N46" s="7" t="s">
        <v>37</v>
      </c>
      <c r="O46" s="5" t="s">
        <v>41</v>
      </c>
      <c r="P46" s="23">
        <v>44651.820428240739</v>
      </c>
      <c r="Q46" s="7" t="s">
        <v>41</v>
      </c>
      <c r="R46" s="23">
        <v>44651.820428240739</v>
      </c>
    </row>
    <row r="47" spans="1:18" ht="15" hidden="1" customHeight="1">
      <c r="A47" s="31">
        <v>38</v>
      </c>
      <c r="B47" s="5" t="s">
        <v>49</v>
      </c>
      <c r="C47" s="5" t="s">
        <v>196</v>
      </c>
      <c r="D47" s="5" t="s">
        <v>8</v>
      </c>
      <c r="E47" s="5" t="s">
        <v>23</v>
      </c>
      <c r="F47" s="8"/>
      <c r="G47" s="6" t="s">
        <v>197</v>
      </c>
      <c r="H47" s="6" t="s">
        <v>202</v>
      </c>
      <c r="I47" s="6" t="s">
        <v>198</v>
      </c>
      <c r="J47" s="6" t="s">
        <v>52</v>
      </c>
      <c r="K47" s="6" t="s">
        <v>52</v>
      </c>
      <c r="L47" s="7"/>
      <c r="M47" s="7" t="s">
        <v>30</v>
      </c>
      <c r="N47" s="7" t="s">
        <v>37</v>
      </c>
      <c r="O47" s="5" t="s">
        <v>41</v>
      </c>
      <c r="P47" s="23">
        <v>44651.82298611111</v>
      </c>
      <c r="Q47" s="7" t="s">
        <v>41</v>
      </c>
      <c r="R47" s="23">
        <v>44651.82298611111</v>
      </c>
    </row>
    <row r="48" spans="1:18" ht="15" hidden="1" customHeight="1">
      <c r="A48" s="31">
        <v>39</v>
      </c>
      <c r="B48" s="5" t="s">
        <v>49</v>
      </c>
      <c r="C48" s="5" t="s">
        <v>199</v>
      </c>
      <c r="D48" s="5" t="s">
        <v>8</v>
      </c>
      <c r="E48" s="5" t="s">
        <v>23</v>
      </c>
      <c r="F48" s="8"/>
      <c r="G48" s="6" t="s">
        <v>200</v>
      </c>
      <c r="H48" s="6" t="s">
        <v>203</v>
      </c>
      <c r="I48" s="6" t="s">
        <v>201</v>
      </c>
      <c r="J48" s="6" t="s">
        <v>52</v>
      </c>
      <c r="K48" s="6" t="s">
        <v>52</v>
      </c>
      <c r="L48" s="7"/>
      <c r="M48" s="7" t="s">
        <v>30</v>
      </c>
      <c r="N48" s="7" t="s">
        <v>37</v>
      </c>
      <c r="O48" s="5" t="s">
        <v>41</v>
      </c>
      <c r="P48" s="23">
        <v>44651.825543981482</v>
      </c>
      <c r="Q48" s="7" t="s">
        <v>41</v>
      </c>
      <c r="R48" s="23">
        <v>44651.825543981482</v>
      </c>
    </row>
    <row r="49" spans="1:18" ht="15" hidden="1" customHeight="1">
      <c r="A49" s="31">
        <v>40</v>
      </c>
      <c r="B49" s="5" t="s">
        <v>49</v>
      </c>
      <c r="C49" s="5" t="s">
        <v>204</v>
      </c>
      <c r="D49" s="5" t="s">
        <v>8</v>
      </c>
      <c r="E49" s="5" t="s">
        <v>23</v>
      </c>
      <c r="F49" s="8"/>
      <c r="G49" s="6" t="s">
        <v>205</v>
      </c>
      <c r="H49" s="6" t="s">
        <v>207</v>
      </c>
      <c r="I49" s="6" t="s">
        <v>206</v>
      </c>
      <c r="J49" s="6" t="s">
        <v>52</v>
      </c>
      <c r="K49" s="6" t="s">
        <v>52</v>
      </c>
      <c r="L49" s="7"/>
      <c r="M49" s="7" t="s">
        <v>30</v>
      </c>
      <c r="N49" s="7" t="s">
        <v>37</v>
      </c>
      <c r="O49" s="5" t="s">
        <v>41</v>
      </c>
      <c r="P49" s="23">
        <v>44651.839259259257</v>
      </c>
      <c r="Q49" s="7" t="s">
        <v>41</v>
      </c>
      <c r="R49" s="23">
        <v>44651.839259259257</v>
      </c>
    </row>
    <row r="50" spans="1:18" ht="15" hidden="1" customHeight="1">
      <c r="A50" s="31">
        <v>41</v>
      </c>
      <c r="B50" s="5" t="s">
        <v>49</v>
      </c>
      <c r="C50" s="5" t="s">
        <v>208</v>
      </c>
      <c r="D50" s="5" t="s">
        <v>8</v>
      </c>
      <c r="E50" s="5" t="s">
        <v>23</v>
      </c>
      <c r="F50" s="8"/>
      <c r="G50" s="6" t="s">
        <v>209</v>
      </c>
      <c r="H50" s="6" t="s">
        <v>211</v>
      </c>
      <c r="I50" s="6" t="s">
        <v>210</v>
      </c>
      <c r="J50" s="6" t="s">
        <v>52</v>
      </c>
      <c r="K50" s="6" t="s">
        <v>52</v>
      </c>
      <c r="L50" s="7"/>
      <c r="M50" s="7" t="s">
        <v>30</v>
      </c>
      <c r="N50" s="7" t="s">
        <v>37</v>
      </c>
      <c r="O50" s="5" t="s">
        <v>41</v>
      </c>
      <c r="P50" s="23">
        <v>44651.841921296298</v>
      </c>
      <c r="Q50" s="7" t="s">
        <v>41</v>
      </c>
      <c r="R50" s="23">
        <v>44651.841921296298</v>
      </c>
    </row>
    <row r="51" spans="1:18" ht="15" hidden="1" customHeight="1">
      <c r="A51" s="31">
        <v>42</v>
      </c>
      <c r="B51" s="5" t="s">
        <v>49</v>
      </c>
      <c r="C51" s="5" t="s">
        <v>212</v>
      </c>
      <c r="D51" s="5" t="s">
        <v>8</v>
      </c>
      <c r="E51" s="5" t="s">
        <v>23</v>
      </c>
      <c r="F51" s="8"/>
      <c r="G51" s="6" t="s">
        <v>213</v>
      </c>
      <c r="H51" s="6" t="s">
        <v>214</v>
      </c>
      <c r="I51" s="6" t="s">
        <v>215</v>
      </c>
      <c r="J51" s="6" t="s">
        <v>52</v>
      </c>
      <c r="K51" s="6" t="s">
        <v>52</v>
      </c>
      <c r="L51" s="7"/>
      <c r="M51" s="7" t="s">
        <v>30</v>
      </c>
      <c r="N51" s="7" t="s">
        <v>37</v>
      </c>
      <c r="O51" s="5" t="s">
        <v>41</v>
      </c>
      <c r="P51" s="23">
        <v>44651.844525462962</v>
      </c>
      <c r="Q51" s="7" t="s">
        <v>41</v>
      </c>
      <c r="R51" s="23">
        <v>44651.844525462962</v>
      </c>
    </row>
    <row r="52" spans="1:18" ht="15" hidden="1" customHeight="1">
      <c r="A52" s="31">
        <v>43</v>
      </c>
      <c r="B52" s="5" t="s">
        <v>49</v>
      </c>
      <c r="C52" s="5" t="s">
        <v>216</v>
      </c>
      <c r="D52" s="5" t="s">
        <v>8</v>
      </c>
      <c r="E52" s="5" t="s">
        <v>23</v>
      </c>
      <c r="F52" s="8"/>
      <c r="G52" s="6" t="s">
        <v>217</v>
      </c>
      <c r="H52" s="6" t="s">
        <v>219</v>
      </c>
      <c r="I52" s="6" t="s">
        <v>218</v>
      </c>
      <c r="J52" s="6" t="s">
        <v>52</v>
      </c>
      <c r="K52" s="6" t="s">
        <v>52</v>
      </c>
      <c r="L52" s="7"/>
      <c r="M52" s="7" t="s">
        <v>30</v>
      </c>
      <c r="N52" s="7" t="s">
        <v>37</v>
      </c>
      <c r="O52" s="5" t="s">
        <v>41</v>
      </c>
      <c r="P52" s="23">
        <v>44651.847222222219</v>
      </c>
      <c r="Q52" s="7" t="s">
        <v>41</v>
      </c>
      <c r="R52" s="23">
        <v>44651.847222222219</v>
      </c>
    </row>
    <row r="53" spans="1:18" ht="15" hidden="1" customHeight="1">
      <c r="A53" s="31">
        <v>44</v>
      </c>
      <c r="B53" s="5" t="s">
        <v>49</v>
      </c>
      <c r="C53" s="5" t="s">
        <v>220</v>
      </c>
      <c r="D53" s="5" t="s">
        <v>8</v>
      </c>
      <c r="E53" s="5" t="s">
        <v>23</v>
      </c>
      <c r="F53" s="8"/>
      <c r="G53" s="6" t="s">
        <v>224</v>
      </c>
      <c r="H53" s="6" t="s">
        <v>222</v>
      </c>
      <c r="I53" s="6" t="s">
        <v>221</v>
      </c>
      <c r="J53" s="6" t="s">
        <v>52</v>
      </c>
      <c r="K53" s="6" t="s">
        <v>52</v>
      </c>
      <c r="L53" s="7"/>
      <c r="M53" s="7" t="s">
        <v>30</v>
      </c>
      <c r="N53" s="7" t="s">
        <v>37</v>
      </c>
      <c r="O53" s="5" t="s">
        <v>41</v>
      </c>
      <c r="P53" s="23">
        <v>44651.848993055559</v>
      </c>
      <c r="Q53" s="7" t="s">
        <v>41</v>
      </c>
      <c r="R53" s="23">
        <v>44651.848993055559</v>
      </c>
    </row>
    <row r="54" spans="1:18" ht="15" hidden="1" customHeight="1">
      <c r="A54" s="31">
        <v>45</v>
      </c>
      <c r="B54" s="5" t="s">
        <v>49</v>
      </c>
      <c r="C54" s="5" t="s">
        <v>223</v>
      </c>
      <c r="D54" s="5" t="s">
        <v>8</v>
      </c>
      <c r="E54" s="5" t="s">
        <v>23</v>
      </c>
      <c r="F54" s="8"/>
      <c r="G54" s="6" t="s">
        <v>225</v>
      </c>
      <c r="H54" s="6" t="s">
        <v>227</v>
      </c>
      <c r="I54" s="6" t="s">
        <v>226</v>
      </c>
      <c r="J54" s="6" t="s">
        <v>52</v>
      </c>
      <c r="K54" s="6" t="s">
        <v>52</v>
      </c>
      <c r="L54" s="7"/>
      <c r="M54" s="7" t="s">
        <v>30</v>
      </c>
      <c r="N54" s="7" t="s">
        <v>37</v>
      </c>
      <c r="O54" s="5" t="s">
        <v>41</v>
      </c>
      <c r="P54" s="23">
        <v>44651.850428240738</v>
      </c>
      <c r="Q54" s="7" t="s">
        <v>41</v>
      </c>
      <c r="R54" s="23">
        <v>44651.850428240738</v>
      </c>
    </row>
    <row r="55" spans="1:18" ht="15" hidden="1" customHeight="1">
      <c r="A55" s="31">
        <v>46</v>
      </c>
      <c r="B55" s="5" t="s">
        <v>49</v>
      </c>
      <c r="C55" s="5" t="s">
        <v>228</v>
      </c>
      <c r="D55" s="5" t="s">
        <v>8</v>
      </c>
      <c r="E55" s="5" t="s">
        <v>23</v>
      </c>
      <c r="F55" s="8"/>
      <c r="G55" s="6" t="s">
        <v>229</v>
      </c>
      <c r="H55" s="6" t="s">
        <v>231</v>
      </c>
      <c r="I55" s="6" t="s">
        <v>230</v>
      </c>
      <c r="J55" s="6" t="s">
        <v>52</v>
      </c>
      <c r="K55" s="6" t="s">
        <v>52</v>
      </c>
      <c r="L55" s="7"/>
      <c r="M55" s="7" t="s">
        <v>30</v>
      </c>
      <c r="N55" s="7" t="s">
        <v>37</v>
      </c>
      <c r="O55" s="5" t="s">
        <v>41</v>
      </c>
      <c r="P55" s="23">
        <v>44651.853067129632</v>
      </c>
      <c r="Q55" s="7" t="s">
        <v>41</v>
      </c>
      <c r="R55" s="23">
        <v>44651.853067129632</v>
      </c>
    </row>
    <row r="56" spans="1:18" ht="15" hidden="1" customHeight="1">
      <c r="A56" s="31">
        <v>47</v>
      </c>
      <c r="B56" s="5" t="s">
        <v>49</v>
      </c>
      <c r="C56" s="5" t="s">
        <v>232</v>
      </c>
      <c r="D56" s="5" t="s">
        <v>8</v>
      </c>
      <c r="E56" s="5" t="s">
        <v>23</v>
      </c>
      <c r="F56" s="8"/>
      <c r="G56" s="6" t="s">
        <v>233</v>
      </c>
      <c r="H56" s="6" t="s">
        <v>235</v>
      </c>
      <c r="I56" s="6" t="s">
        <v>234</v>
      </c>
      <c r="J56" s="6" t="s">
        <v>52</v>
      </c>
      <c r="K56" s="6" t="s">
        <v>52</v>
      </c>
      <c r="L56" s="7"/>
      <c r="M56" s="7" t="s">
        <v>30</v>
      </c>
      <c r="N56" s="7" t="s">
        <v>37</v>
      </c>
      <c r="O56" s="5" t="s">
        <v>41</v>
      </c>
      <c r="P56" s="23">
        <v>44651.854849537034</v>
      </c>
      <c r="Q56" s="7" t="s">
        <v>41</v>
      </c>
      <c r="R56" s="23">
        <v>44651.854849537034</v>
      </c>
    </row>
    <row r="57" spans="1:18" ht="15" hidden="1" customHeight="1">
      <c r="A57" s="31">
        <v>48</v>
      </c>
      <c r="B57" s="5" t="s">
        <v>49</v>
      </c>
      <c r="C57" s="5" t="s">
        <v>236</v>
      </c>
      <c r="D57" s="5" t="s">
        <v>8</v>
      </c>
      <c r="E57" s="5" t="s">
        <v>23</v>
      </c>
      <c r="F57" s="8"/>
      <c r="G57" s="6" t="s">
        <v>237</v>
      </c>
      <c r="H57" s="6" t="s">
        <v>239</v>
      </c>
      <c r="I57" s="6" t="s">
        <v>238</v>
      </c>
      <c r="J57" s="6" t="s">
        <v>52</v>
      </c>
      <c r="K57" s="6" t="s">
        <v>52</v>
      </c>
      <c r="L57" s="7"/>
      <c r="M57" s="7" t="s">
        <v>30</v>
      </c>
      <c r="N57" s="7" t="s">
        <v>37</v>
      </c>
      <c r="O57" s="5" t="s">
        <v>41</v>
      </c>
      <c r="P57" s="23">
        <v>44651.857997685183</v>
      </c>
      <c r="Q57" s="7" t="s">
        <v>41</v>
      </c>
      <c r="R57" s="23">
        <v>44651.857997685183</v>
      </c>
    </row>
    <row r="58" spans="1:18" ht="15" hidden="1" customHeight="1">
      <c r="A58" s="31">
        <v>49</v>
      </c>
      <c r="B58" s="5" t="s">
        <v>49</v>
      </c>
      <c r="C58" s="5" t="s">
        <v>240</v>
      </c>
      <c r="D58" s="5" t="s">
        <v>8</v>
      </c>
      <c r="E58" s="5" t="s">
        <v>23</v>
      </c>
      <c r="F58" s="8"/>
      <c r="G58" s="6" t="s">
        <v>241</v>
      </c>
      <c r="H58" s="6" t="s">
        <v>243</v>
      </c>
      <c r="I58" s="6" t="s">
        <v>242</v>
      </c>
      <c r="J58" s="6" t="s">
        <v>52</v>
      </c>
      <c r="K58" s="6" t="s">
        <v>52</v>
      </c>
      <c r="L58" s="7"/>
      <c r="M58" s="7" t="s">
        <v>30</v>
      </c>
      <c r="N58" s="7" t="s">
        <v>37</v>
      </c>
      <c r="O58" s="5" t="s">
        <v>41</v>
      </c>
      <c r="P58" s="23">
        <v>44651.859502314815</v>
      </c>
      <c r="Q58" s="7" t="s">
        <v>41</v>
      </c>
      <c r="R58" s="23">
        <v>44651.859502314815</v>
      </c>
    </row>
    <row r="59" spans="1:18" ht="15" hidden="1" customHeight="1">
      <c r="A59" s="31">
        <v>50</v>
      </c>
      <c r="B59" s="5" t="s">
        <v>49</v>
      </c>
      <c r="C59" s="5" t="s">
        <v>244</v>
      </c>
      <c r="D59" s="5" t="s">
        <v>8</v>
      </c>
      <c r="E59" s="5" t="s">
        <v>23</v>
      </c>
      <c r="F59" s="8"/>
      <c r="G59" s="6" t="s">
        <v>245</v>
      </c>
      <c r="H59" s="6" t="s">
        <v>247</v>
      </c>
      <c r="I59" s="6" t="s">
        <v>246</v>
      </c>
      <c r="J59" s="6" t="s">
        <v>52</v>
      </c>
      <c r="K59" s="6" t="s">
        <v>52</v>
      </c>
      <c r="L59" s="7"/>
      <c r="M59" s="7" t="s">
        <v>30</v>
      </c>
      <c r="N59" s="7" t="s">
        <v>37</v>
      </c>
      <c r="O59" s="5" t="s">
        <v>41</v>
      </c>
      <c r="P59" s="23">
        <v>44651.862812500003</v>
      </c>
      <c r="Q59" s="7" t="s">
        <v>41</v>
      </c>
      <c r="R59" s="23">
        <v>44651.862812500003</v>
      </c>
    </row>
    <row r="60" spans="1:18" ht="66">
      <c r="A60" s="31">
        <v>51</v>
      </c>
      <c r="B60" s="5" t="s">
        <v>50</v>
      </c>
      <c r="C60" s="5" t="s">
        <v>248</v>
      </c>
      <c r="D60" s="5" t="s">
        <v>8</v>
      </c>
      <c r="E60" s="5" t="s">
        <v>23</v>
      </c>
      <c r="F60" s="8"/>
      <c r="G60" s="6" t="s">
        <v>254</v>
      </c>
      <c r="H60" s="6" t="s">
        <v>250</v>
      </c>
      <c r="I60" s="6" t="s">
        <v>251</v>
      </c>
      <c r="J60" s="6" t="s">
        <v>252</v>
      </c>
      <c r="K60" s="6" t="s">
        <v>252</v>
      </c>
      <c r="L60" s="7"/>
      <c r="M60" s="7" t="s">
        <v>30</v>
      </c>
      <c r="N60" s="7" t="s">
        <v>37</v>
      </c>
      <c r="O60" s="5" t="s">
        <v>41</v>
      </c>
      <c r="P60" s="23">
        <v>44651.902731481481</v>
      </c>
      <c r="Q60" s="7" t="s">
        <v>41</v>
      </c>
      <c r="R60" s="23">
        <v>44651.902731481481</v>
      </c>
    </row>
    <row r="61" spans="1:18" ht="52.8">
      <c r="A61" s="31">
        <v>52</v>
      </c>
      <c r="B61" s="5" t="s">
        <v>50</v>
      </c>
      <c r="C61" s="5" t="s">
        <v>253</v>
      </c>
      <c r="D61" s="5" t="s">
        <v>12</v>
      </c>
      <c r="E61" s="5" t="s">
        <v>23</v>
      </c>
      <c r="F61" s="8"/>
      <c r="G61" s="6" t="s">
        <v>255</v>
      </c>
      <c r="H61" s="6" t="s">
        <v>256</v>
      </c>
      <c r="I61" s="6" t="s">
        <v>257</v>
      </c>
      <c r="J61" s="6" t="s">
        <v>258</v>
      </c>
      <c r="K61" s="6" t="s">
        <v>258</v>
      </c>
      <c r="L61" s="7"/>
      <c r="M61" s="7" t="s">
        <v>30</v>
      </c>
      <c r="N61" s="7" t="s">
        <v>37</v>
      </c>
      <c r="O61" s="5" t="s">
        <v>41</v>
      </c>
      <c r="P61" s="23">
        <v>44651.908530092594</v>
      </c>
      <c r="Q61" s="7" t="s">
        <v>41</v>
      </c>
      <c r="R61" s="23">
        <v>44651.908530092594</v>
      </c>
    </row>
    <row r="62" spans="1:18" ht="52.8">
      <c r="A62" s="31">
        <v>53</v>
      </c>
      <c r="B62" s="5" t="s">
        <v>50</v>
      </c>
      <c r="C62" s="5" t="s">
        <v>259</v>
      </c>
      <c r="D62" s="5" t="s">
        <v>12</v>
      </c>
      <c r="E62" s="5" t="s">
        <v>23</v>
      </c>
      <c r="F62" s="8"/>
      <c r="G62" s="6" t="s">
        <v>260</v>
      </c>
      <c r="H62" s="6" t="s">
        <v>261</v>
      </c>
      <c r="I62" s="6" t="s">
        <v>262</v>
      </c>
      <c r="J62" s="6" t="s">
        <v>258</v>
      </c>
      <c r="K62" s="6" t="s">
        <v>258</v>
      </c>
      <c r="L62" s="7"/>
      <c r="M62" s="7" t="s">
        <v>30</v>
      </c>
      <c r="N62" s="7" t="s">
        <v>37</v>
      </c>
      <c r="O62" s="5" t="s">
        <v>41</v>
      </c>
      <c r="P62" s="23">
        <v>44651.909988425927</v>
      </c>
      <c r="Q62" s="7" t="s">
        <v>41</v>
      </c>
      <c r="R62" s="23">
        <v>44651.909988425927</v>
      </c>
    </row>
    <row r="63" spans="1:18" ht="66">
      <c r="A63" s="31">
        <v>54</v>
      </c>
      <c r="B63" s="5" t="s">
        <v>50</v>
      </c>
      <c r="C63" s="5" t="s">
        <v>263</v>
      </c>
      <c r="D63" s="5" t="s">
        <v>12</v>
      </c>
      <c r="E63" s="5" t="s">
        <v>23</v>
      </c>
      <c r="F63" s="8"/>
      <c r="G63" s="6" t="s">
        <v>264</v>
      </c>
      <c r="H63" s="6" t="s">
        <v>276</v>
      </c>
      <c r="I63" s="6" t="s">
        <v>265</v>
      </c>
      <c r="J63" s="6" t="s">
        <v>258</v>
      </c>
      <c r="K63" s="6" t="s">
        <v>258</v>
      </c>
      <c r="L63" s="7"/>
      <c r="M63" s="7" t="s">
        <v>30</v>
      </c>
      <c r="N63" s="7" t="s">
        <v>37</v>
      </c>
      <c r="O63" s="5" t="s">
        <v>41</v>
      </c>
      <c r="P63" s="23">
        <v>44651.911006944443</v>
      </c>
      <c r="Q63" s="7" t="s">
        <v>41</v>
      </c>
      <c r="R63" s="23">
        <v>44651.911006944443</v>
      </c>
    </row>
    <row r="64" spans="1:18" ht="66">
      <c r="A64" s="31">
        <v>55</v>
      </c>
      <c r="B64" s="5" t="s">
        <v>50</v>
      </c>
      <c r="C64" s="5" t="s">
        <v>266</v>
      </c>
      <c r="D64" s="5" t="s">
        <v>12</v>
      </c>
      <c r="E64" s="5" t="s">
        <v>23</v>
      </c>
      <c r="F64" s="8"/>
      <c r="G64" s="6" t="s">
        <v>267</v>
      </c>
      <c r="H64" s="6" t="s">
        <v>275</v>
      </c>
      <c r="I64" s="6" t="s">
        <v>265</v>
      </c>
      <c r="J64" s="6" t="s">
        <v>258</v>
      </c>
      <c r="K64" s="6" t="s">
        <v>258</v>
      </c>
      <c r="L64" s="7"/>
      <c r="M64" s="7" t="s">
        <v>30</v>
      </c>
      <c r="N64" s="7" t="s">
        <v>37</v>
      </c>
      <c r="O64" s="5" t="s">
        <v>41</v>
      </c>
      <c r="P64" s="23">
        <v>44651.914143518516</v>
      </c>
      <c r="Q64" s="7" t="s">
        <v>41</v>
      </c>
      <c r="R64" s="23">
        <v>44651.914143518516</v>
      </c>
    </row>
    <row r="65" spans="1:18" ht="66">
      <c r="A65" s="31">
        <v>56</v>
      </c>
      <c r="B65" s="5" t="s">
        <v>50</v>
      </c>
      <c r="C65" s="5" t="s">
        <v>268</v>
      </c>
      <c r="D65" s="5" t="s">
        <v>12</v>
      </c>
      <c r="E65" s="5" t="s">
        <v>23</v>
      </c>
      <c r="F65" s="8"/>
      <c r="G65" s="6" t="s">
        <v>269</v>
      </c>
      <c r="H65" s="6" t="s">
        <v>274</v>
      </c>
      <c r="I65" s="6" t="s">
        <v>265</v>
      </c>
      <c r="J65" s="6" t="s">
        <v>258</v>
      </c>
      <c r="K65" s="6" t="s">
        <v>258</v>
      </c>
      <c r="L65" s="7"/>
      <c r="M65" s="7" t="s">
        <v>30</v>
      </c>
      <c r="N65" s="7" t="s">
        <v>37</v>
      </c>
      <c r="O65" s="5" t="s">
        <v>41</v>
      </c>
      <c r="P65" s="23">
        <v>44651.915324074071</v>
      </c>
      <c r="Q65" s="7" t="s">
        <v>41</v>
      </c>
      <c r="R65" s="23">
        <v>44651.915324074071</v>
      </c>
    </row>
    <row r="66" spans="1:18" ht="52.8">
      <c r="A66" s="31">
        <v>57</v>
      </c>
      <c r="B66" s="5" t="s">
        <v>50</v>
      </c>
      <c r="C66" s="5" t="s">
        <v>270</v>
      </c>
      <c r="D66" s="5" t="s">
        <v>12</v>
      </c>
      <c r="E66" s="5" t="s">
        <v>23</v>
      </c>
      <c r="F66" s="8"/>
      <c r="G66" s="6" t="s">
        <v>271</v>
      </c>
      <c r="H66" s="6" t="s">
        <v>272</v>
      </c>
      <c r="I66" s="6" t="s">
        <v>277</v>
      </c>
      <c r="J66" s="6" t="s">
        <v>258</v>
      </c>
      <c r="K66" s="6" t="s">
        <v>258</v>
      </c>
      <c r="L66" s="7"/>
      <c r="M66" s="7" t="s">
        <v>30</v>
      </c>
      <c r="N66" s="7" t="s">
        <v>37</v>
      </c>
      <c r="O66" s="5" t="s">
        <v>41</v>
      </c>
      <c r="P66" s="23">
        <v>44651.917013888888</v>
      </c>
      <c r="Q66" s="7" t="s">
        <v>41</v>
      </c>
      <c r="R66" s="23">
        <v>44651.917013888888</v>
      </c>
    </row>
    <row r="67" spans="1:18" ht="66">
      <c r="A67" s="31">
        <v>58</v>
      </c>
      <c r="B67" s="5" t="s">
        <v>50</v>
      </c>
      <c r="C67" s="5" t="s">
        <v>273</v>
      </c>
      <c r="D67" s="5" t="s">
        <v>12</v>
      </c>
      <c r="E67" s="5" t="s">
        <v>23</v>
      </c>
      <c r="F67" s="8"/>
      <c r="G67" s="6" t="s">
        <v>278</v>
      </c>
      <c r="H67" s="6" t="s">
        <v>280</v>
      </c>
      <c r="I67" s="6" t="s">
        <v>279</v>
      </c>
      <c r="J67" s="6" t="s">
        <v>258</v>
      </c>
      <c r="K67" s="6" t="s">
        <v>258</v>
      </c>
      <c r="L67" s="7"/>
      <c r="M67" s="7" t="s">
        <v>30</v>
      </c>
      <c r="N67" s="7" t="s">
        <v>37</v>
      </c>
      <c r="O67" s="5" t="s">
        <v>41</v>
      </c>
      <c r="P67" s="23">
        <v>44652.412442129629</v>
      </c>
      <c r="Q67" s="7" t="s">
        <v>41</v>
      </c>
      <c r="R67" s="23">
        <v>44652.412442129629</v>
      </c>
    </row>
    <row r="68" spans="1:18" ht="66">
      <c r="A68" s="31">
        <v>59</v>
      </c>
      <c r="B68" s="5" t="s">
        <v>50</v>
      </c>
      <c r="C68" s="5" t="s">
        <v>281</v>
      </c>
      <c r="D68" s="5" t="s">
        <v>12</v>
      </c>
      <c r="E68" s="5" t="s">
        <v>23</v>
      </c>
      <c r="F68" s="8"/>
      <c r="G68" s="6" t="s">
        <v>282</v>
      </c>
      <c r="H68" s="6" t="s">
        <v>285</v>
      </c>
      <c r="I68" s="6" t="s">
        <v>283</v>
      </c>
      <c r="J68" s="6" t="s">
        <v>258</v>
      </c>
      <c r="K68" s="6" t="s">
        <v>258</v>
      </c>
      <c r="L68" s="7"/>
      <c r="M68" s="7" t="s">
        <v>30</v>
      </c>
      <c r="N68" s="7" t="s">
        <v>37</v>
      </c>
      <c r="O68" s="5" t="s">
        <v>41</v>
      </c>
      <c r="P68" s="23">
        <v>44652.417175925926</v>
      </c>
      <c r="Q68" s="7" t="s">
        <v>41</v>
      </c>
      <c r="R68" s="23">
        <v>44652.417175925926</v>
      </c>
    </row>
    <row r="69" spans="1:18" ht="66">
      <c r="A69" s="31">
        <v>60</v>
      </c>
      <c r="B69" s="5" t="s">
        <v>50</v>
      </c>
      <c r="C69" s="5" t="s">
        <v>284</v>
      </c>
      <c r="D69" s="5" t="s">
        <v>8</v>
      </c>
      <c r="E69" s="5" t="s">
        <v>23</v>
      </c>
      <c r="F69" s="8"/>
      <c r="G69" s="6" t="s">
        <v>290</v>
      </c>
      <c r="H69" s="6" t="s">
        <v>296</v>
      </c>
      <c r="I69" s="6" t="s">
        <v>286</v>
      </c>
      <c r="J69" s="6" t="s">
        <v>252</v>
      </c>
      <c r="K69" s="6" t="s">
        <v>252</v>
      </c>
      <c r="L69" s="7"/>
      <c r="M69" s="7" t="s">
        <v>30</v>
      </c>
      <c r="N69" s="7" t="s">
        <v>37</v>
      </c>
      <c r="O69" s="5" t="s">
        <v>41</v>
      </c>
      <c r="P69" s="23">
        <v>44652.418634259258</v>
      </c>
      <c r="Q69" s="7" t="s">
        <v>41</v>
      </c>
      <c r="R69" s="23">
        <v>44652.418634259258</v>
      </c>
    </row>
    <row r="70" spans="1:18" ht="66">
      <c r="A70" s="31">
        <v>61</v>
      </c>
      <c r="B70" s="5" t="s">
        <v>50</v>
      </c>
      <c r="C70" s="5" t="s">
        <v>287</v>
      </c>
      <c r="D70" s="5" t="s">
        <v>8</v>
      </c>
      <c r="E70" s="5" t="s">
        <v>23</v>
      </c>
      <c r="F70" s="8"/>
      <c r="G70" s="6" t="s">
        <v>289</v>
      </c>
      <c r="H70" s="6" t="s">
        <v>295</v>
      </c>
      <c r="I70" s="6" t="s">
        <v>286</v>
      </c>
      <c r="J70" s="6" t="s">
        <v>252</v>
      </c>
      <c r="K70" s="6" t="s">
        <v>252</v>
      </c>
      <c r="L70" s="7"/>
      <c r="M70" s="7" t="s">
        <v>30</v>
      </c>
      <c r="N70" s="7" t="s">
        <v>37</v>
      </c>
      <c r="O70" s="5" t="s">
        <v>41</v>
      </c>
      <c r="P70" s="23">
        <v>44652.422569444447</v>
      </c>
      <c r="Q70" s="7" t="s">
        <v>41</v>
      </c>
      <c r="R70" s="23">
        <v>44652.422569444447</v>
      </c>
    </row>
    <row r="71" spans="1:18" ht="66">
      <c r="A71" s="31">
        <v>62</v>
      </c>
      <c r="B71" s="5" t="s">
        <v>50</v>
      </c>
      <c r="C71" s="5" t="s">
        <v>288</v>
      </c>
      <c r="D71" s="5" t="s">
        <v>8</v>
      </c>
      <c r="E71" s="5" t="s">
        <v>23</v>
      </c>
      <c r="F71" s="8"/>
      <c r="G71" s="6" t="s">
        <v>292</v>
      </c>
      <c r="H71" s="6" t="s">
        <v>294</v>
      </c>
      <c r="I71" s="6" t="s">
        <v>286</v>
      </c>
      <c r="J71" s="6" t="s">
        <v>252</v>
      </c>
      <c r="K71" s="6" t="s">
        <v>252</v>
      </c>
      <c r="L71" s="7"/>
      <c r="M71" s="7" t="s">
        <v>30</v>
      </c>
      <c r="N71" s="7" t="s">
        <v>37</v>
      </c>
      <c r="O71" s="5" t="s">
        <v>41</v>
      </c>
      <c r="P71" s="23">
        <v>44652.424016203702</v>
      </c>
      <c r="Q71" s="7" t="s">
        <v>41</v>
      </c>
      <c r="R71" s="23">
        <v>44652.424016203702</v>
      </c>
    </row>
    <row r="72" spans="1:18" ht="52.8">
      <c r="A72" s="31">
        <v>63</v>
      </c>
      <c r="B72" s="5" t="s">
        <v>50</v>
      </c>
      <c r="C72" s="5" t="s">
        <v>291</v>
      </c>
      <c r="D72" s="5" t="s">
        <v>12</v>
      </c>
      <c r="E72" s="5" t="s">
        <v>23</v>
      </c>
      <c r="F72" s="8"/>
      <c r="G72" s="6" t="s">
        <v>300</v>
      </c>
      <c r="H72" s="6" t="s">
        <v>293</v>
      </c>
      <c r="I72" s="6" t="s">
        <v>297</v>
      </c>
      <c r="J72" s="6" t="s">
        <v>258</v>
      </c>
      <c r="K72" s="6" t="s">
        <v>258</v>
      </c>
      <c r="L72" s="7"/>
      <c r="M72" s="7" t="s">
        <v>30</v>
      </c>
      <c r="N72" s="7" t="s">
        <v>37</v>
      </c>
      <c r="O72" s="5" t="s">
        <v>41</v>
      </c>
      <c r="P72" s="23">
        <v>44652.42564814815</v>
      </c>
      <c r="Q72" s="7" t="s">
        <v>41</v>
      </c>
      <c r="R72" s="23">
        <v>44652.42564814815</v>
      </c>
    </row>
    <row r="73" spans="1:18" ht="52.8">
      <c r="A73" s="31">
        <v>64</v>
      </c>
      <c r="B73" s="5" t="s">
        <v>50</v>
      </c>
      <c r="C73" s="5" t="s">
        <v>298</v>
      </c>
      <c r="D73" s="5" t="s">
        <v>12</v>
      </c>
      <c r="E73" s="5" t="s">
        <v>23</v>
      </c>
      <c r="F73" s="8"/>
      <c r="G73" s="6" t="s">
        <v>299</v>
      </c>
      <c r="H73" s="6" t="s">
        <v>301</v>
      </c>
      <c r="I73" s="6" t="s">
        <v>302</v>
      </c>
      <c r="J73" s="6" t="s">
        <v>258</v>
      </c>
      <c r="K73" s="6" t="s">
        <v>258</v>
      </c>
      <c r="L73" s="7"/>
      <c r="M73" s="7" t="s">
        <v>30</v>
      </c>
      <c r="N73" s="7" t="s">
        <v>37</v>
      </c>
      <c r="O73" s="5" t="s">
        <v>41</v>
      </c>
      <c r="P73" s="23">
        <v>44652.427442129629</v>
      </c>
      <c r="Q73" s="7" t="s">
        <v>41</v>
      </c>
      <c r="R73" s="23">
        <v>44652.427442129629</v>
      </c>
    </row>
    <row r="74" spans="1:18" ht="66">
      <c r="A74" s="31">
        <v>65</v>
      </c>
      <c r="B74" s="5" t="s">
        <v>50</v>
      </c>
      <c r="C74" s="5" t="s">
        <v>303</v>
      </c>
      <c r="D74" s="5" t="s">
        <v>12</v>
      </c>
      <c r="E74" s="5" t="s">
        <v>24</v>
      </c>
      <c r="F74" s="8"/>
      <c r="G74" s="6" t="s">
        <v>305</v>
      </c>
      <c r="H74" s="6" t="s">
        <v>340</v>
      </c>
      <c r="I74" s="6" t="s">
        <v>286</v>
      </c>
      <c r="J74" s="6" t="s">
        <v>258</v>
      </c>
      <c r="K74" s="6" t="s">
        <v>252</v>
      </c>
      <c r="L74" s="7" t="s">
        <v>330</v>
      </c>
      <c r="M74" s="7" t="s">
        <v>30</v>
      </c>
      <c r="N74" s="7" t="s">
        <v>37</v>
      </c>
      <c r="O74" s="5" t="s">
        <v>41</v>
      </c>
      <c r="P74" s="23">
        <v>44652.428564814814</v>
      </c>
      <c r="Q74" s="7" t="s">
        <v>41</v>
      </c>
      <c r="R74" s="23">
        <v>44652.428564814814</v>
      </c>
    </row>
    <row r="75" spans="1:18" ht="66">
      <c r="A75" s="31">
        <v>66</v>
      </c>
      <c r="B75" s="5" t="s">
        <v>50</v>
      </c>
      <c r="C75" s="5" t="s">
        <v>304</v>
      </c>
      <c r="D75" s="5" t="s">
        <v>12</v>
      </c>
      <c r="E75" s="5" t="s">
        <v>24</v>
      </c>
      <c r="F75" s="8"/>
      <c r="G75" s="6" t="s">
        <v>306</v>
      </c>
      <c r="H75" s="6" t="s">
        <v>307</v>
      </c>
      <c r="I75" s="6" t="s">
        <v>286</v>
      </c>
      <c r="J75" s="6" t="s">
        <v>258</v>
      </c>
      <c r="K75" s="6" t="s">
        <v>252</v>
      </c>
      <c r="L75" s="7" t="s">
        <v>333</v>
      </c>
      <c r="M75" s="7" t="s">
        <v>30</v>
      </c>
      <c r="N75" s="7" t="s">
        <v>37</v>
      </c>
      <c r="O75" s="5" t="s">
        <v>41</v>
      </c>
      <c r="P75" s="23">
        <v>44652.43277777778</v>
      </c>
      <c r="Q75" s="7" t="s">
        <v>41</v>
      </c>
      <c r="R75" s="23">
        <v>44652.43277777778</v>
      </c>
    </row>
    <row r="76" spans="1:18" ht="66">
      <c r="A76" s="31">
        <v>67</v>
      </c>
      <c r="B76" s="5" t="s">
        <v>50</v>
      </c>
      <c r="C76" s="5" t="s">
        <v>308</v>
      </c>
      <c r="D76" s="5" t="s">
        <v>12</v>
      </c>
      <c r="E76" s="5" t="s">
        <v>23</v>
      </c>
      <c r="F76" s="8"/>
      <c r="G76" s="6" t="s">
        <v>309</v>
      </c>
      <c r="H76" s="6" t="s">
        <v>313</v>
      </c>
      <c r="I76" s="6" t="s">
        <v>286</v>
      </c>
      <c r="J76" s="6" t="s">
        <v>258</v>
      </c>
      <c r="K76" s="6" t="s">
        <v>258</v>
      </c>
      <c r="L76" s="7"/>
      <c r="M76" s="7" t="s">
        <v>30</v>
      </c>
      <c r="N76" s="7" t="s">
        <v>37</v>
      </c>
      <c r="O76" s="5" t="s">
        <v>41</v>
      </c>
      <c r="P76" s="23">
        <v>44652.434999999998</v>
      </c>
      <c r="Q76" s="7" t="s">
        <v>41</v>
      </c>
      <c r="R76" s="23">
        <v>44652.434999999998</v>
      </c>
    </row>
    <row r="77" spans="1:18" ht="66">
      <c r="A77" s="31">
        <v>68</v>
      </c>
      <c r="B77" s="5" t="s">
        <v>50</v>
      </c>
      <c r="C77" s="5" t="s">
        <v>311</v>
      </c>
      <c r="D77" s="5" t="s">
        <v>12</v>
      </c>
      <c r="E77" s="5" t="s">
        <v>23</v>
      </c>
      <c r="F77" s="8"/>
      <c r="G77" s="6" t="s">
        <v>312</v>
      </c>
      <c r="H77" s="6" t="s">
        <v>314</v>
      </c>
      <c r="I77" s="6" t="s">
        <v>286</v>
      </c>
      <c r="J77" s="6" t="s">
        <v>258</v>
      </c>
      <c r="K77" s="6" t="s">
        <v>315</v>
      </c>
      <c r="L77" s="7"/>
      <c r="M77" s="7" t="s">
        <v>30</v>
      </c>
      <c r="N77" s="7" t="s">
        <v>37</v>
      </c>
      <c r="O77" s="5" t="s">
        <v>41</v>
      </c>
      <c r="P77" s="23">
        <v>44652.439479166664</v>
      </c>
      <c r="Q77" s="7" t="s">
        <v>41</v>
      </c>
      <c r="R77" s="23">
        <v>44652.439479166664</v>
      </c>
    </row>
    <row r="78" spans="1:18" ht="66">
      <c r="A78" s="31">
        <v>69</v>
      </c>
      <c r="B78" s="5" t="s">
        <v>50</v>
      </c>
      <c r="C78" s="5" t="s">
        <v>316</v>
      </c>
      <c r="D78" s="5" t="s">
        <v>12</v>
      </c>
      <c r="E78" s="5" t="s">
        <v>23</v>
      </c>
      <c r="F78" s="8"/>
      <c r="G78" s="6" t="s">
        <v>317</v>
      </c>
      <c r="H78" s="6" t="s">
        <v>318</v>
      </c>
      <c r="I78" s="6" t="s">
        <v>319</v>
      </c>
      <c r="J78" s="6" t="s">
        <v>258</v>
      </c>
      <c r="K78" s="6" t="s">
        <v>258</v>
      </c>
      <c r="L78" s="7"/>
      <c r="M78" s="7" t="s">
        <v>30</v>
      </c>
      <c r="N78" s="7" t="s">
        <v>37</v>
      </c>
      <c r="O78" s="5" t="s">
        <v>41</v>
      </c>
      <c r="P78" s="23">
        <v>44652.440798611111</v>
      </c>
      <c r="Q78" s="7" t="s">
        <v>41</v>
      </c>
      <c r="R78" s="23">
        <v>44652.440798611111</v>
      </c>
    </row>
    <row r="79" spans="1:18" ht="15" customHeight="1">
      <c r="A79" s="31">
        <v>70</v>
      </c>
      <c r="B79" s="5" t="s">
        <v>50</v>
      </c>
      <c r="C79" s="5" t="s">
        <v>320</v>
      </c>
      <c r="D79" s="5" t="s">
        <v>12</v>
      </c>
      <c r="E79" s="5" t="s">
        <v>23</v>
      </c>
      <c r="F79" s="8"/>
      <c r="G79" s="6" t="s">
        <v>322</v>
      </c>
      <c r="H79" s="6" t="s">
        <v>321</v>
      </c>
      <c r="I79" s="6" t="s">
        <v>286</v>
      </c>
      <c r="J79" s="6" t="s">
        <v>258</v>
      </c>
      <c r="K79" s="6" t="s">
        <v>258</v>
      </c>
      <c r="L79" s="7"/>
      <c r="M79" s="7" t="s">
        <v>30</v>
      </c>
      <c r="N79" s="7" t="s">
        <v>37</v>
      </c>
      <c r="O79" s="5" t="s">
        <v>41</v>
      </c>
      <c r="P79" s="23">
        <v>44652.442245370374</v>
      </c>
      <c r="Q79" s="7" t="s">
        <v>41</v>
      </c>
      <c r="R79" s="23">
        <v>44652.442245370374</v>
      </c>
    </row>
    <row r="80" spans="1:18" ht="15" customHeight="1">
      <c r="A80" s="31">
        <v>71</v>
      </c>
      <c r="B80" s="5" t="s">
        <v>50</v>
      </c>
      <c r="C80" s="5" t="s">
        <v>323</v>
      </c>
      <c r="D80" s="5" t="s">
        <v>12</v>
      </c>
      <c r="E80" s="5" t="s">
        <v>23</v>
      </c>
      <c r="F80" s="8"/>
      <c r="G80" s="6" t="s">
        <v>324</v>
      </c>
      <c r="H80" s="6" t="s">
        <v>325</v>
      </c>
      <c r="I80" s="6" t="s">
        <v>286</v>
      </c>
      <c r="J80" s="6" t="s">
        <v>258</v>
      </c>
      <c r="K80" s="6" t="s">
        <v>258</v>
      </c>
      <c r="L80" s="7"/>
      <c r="M80" s="7" t="s">
        <v>30</v>
      </c>
      <c r="N80" s="7" t="s">
        <v>37</v>
      </c>
      <c r="O80" s="5" t="s">
        <v>41</v>
      </c>
      <c r="P80" s="23">
        <v>44652.443784722222</v>
      </c>
      <c r="Q80" s="7" t="s">
        <v>41</v>
      </c>
      <c r="R80" s="23">
        <v>44652.443784722222</v>
      </c>
    </row>
    <row r="81" spans="1:18" ht="15" customHeight="1">
      <c r="A81" s="31">
        <v>72</v>
      </c>
      <c r="B81" s="5" t="s">
        <v>50</v>
      </c>
      <c r="C81" s="5" t="s">
        <v>326</v>
      </c>
      <c r="D81" s="5" t="s">
        <v>12</v>
      </c>
      <c r="E81" s="5" t="s">
        <v>23</v>
      </c>
      <c r="F81" s="8"/>
      <c r="G81" s="6" t="s">
        <v>327</v>
      </c>
      <c r="H81" s="6" t="s">
        <v>272</v>
      </c>
      <c r="I81" s="6" t="s">
        <v>328</v>
      </c>
      <c r="J81" s="6" t="s">
        <v>258</v>
      </c>
      <c r="K81" s="6" t="s">
        <v>258</v>
      </c>
      <c r="L81" s="7"/>
      <c r="M81" s="7" t="s">
        <v>30</v>
      </c>
      <c r="N81" s="7" t="s">
        <v>37</v>
      </c>
      <c r="O81" s="5" t="s">
        <v>41</v>
      </c>
      <c r="P81" s="23">
        <v>44652.445104166669</v>
      </c>
      <c r="Q81" s="7" t="s">
        <v>41</v>
      </c>
      <c r="R81" s="23">
        <v>44652.445104166669</v>
      </c>
    </row>
    <row r="82" spans="1:18" ht="66">
      <c r="A82" s="31">
        <v>73</v>
      </c>
      <c r="B82" s="5" t="s">
        <v>50</v>
      </c>
      <c r="C82" s="5" t="s">
        <v>329</v>
      </c>
      <c r="D82" s="5" t="s">
        <v>12</v>
      </c>
      <c r="E82" s="5" t="s">
        <v>24</v>
      </c>
      <c r="F82" s="8"/>
      <c r="G82" s="6" t="s">
        <v>332</v>
      </c>
      <c r="H82" s="6" t="s">
        <v>331</v>
      </c>
      <c r="I82" s="6" t="s">
        <v>286</v>
      </c>
      <c r="J82" s="6" t="s">
        <v>258</v>
      </c>
      <c r="K82" s="6" t="s">
        <v>252</v>
      </c>
      <c r="L82" s="7" t="s">
        <v>334</v>
      </c>
      <c r="M82" s="7" t="s">
        <v>30</v>
      </c>
      <c r="N82" s="7" t="s">
        <v>37</v>
      </c>
      <c r="O82" s="5" t="s">
        <v>41</v>
      </c>
      <c r="P82" s="23">
        <v>44652.447488425925</v>
      </c>
      <c r="Q82" s="7" t="s">
        <v>41</v>
      </c>
      <c r="R82" s="23">
        <v>44652.447488425925</v>
      </c>
    </row>
    <row r="83" spans="1:18" ht="15" customHeight="1">
      <c r="A83" s="31">
        <v>74</v>
      </c>
      <c r="B83" s="5" t="s">
        <v>50</v>
      </c>
      <c r="C83" s="5" t="s">
        <v>335</v>
      </c>
      <c r="D83" s="5" t="s">
        <v>12</v>
      </c>
      <c r="E83" s="5" t="s">
        <v>23</v>
      </c>
      <c r="F83" s="8"/>
      <c r="G83" s="6" t="s">
        <v>336</v>
      </c>
      <c r="H83" s="6" t="s">
        <v>310</v>
      </c>
      <c r="I83" s="6" t="s">
        <v>286</v>
      </c>
      <c r="J83" s="6" t="s">
        <v>258</v>
      </c>
      <c r="K83" s="6" t="s">
        <v>258</v>
      </c>
      <c r="L83" s="7"/>
      <c r="M83" s="7" t="s">
        <v>30</v>
      </c>
      <c r="N83" s="7" t="s">
        <v>37</v>
      </c>
      <c r="O83" s="5" t="s">
        <v>41</v>
      </c>
      <c r="P83" s="23">
        <v>44652.449976851851</v>
      </c>
      <c r="Q83" s="7" t="s">
        <v>41</v>
      </c>
      <c r="R83" s="23">
        <v>44652.449976851851</v>
      </c>
    </row>
    <row r="84" spans="1:18" ht="15" customHeight="1">
      <c r="A84" s="31">
        <v>75</v>
      </c>
      <c r="B84" s="5" t="s">
        <v>50</v>
      </c>
      <c r="C84" s="5" t="s">
        <v>337</v>
      </c>
      <c r="D84" s="5" t="s">
        <v>12</v>
      </c>
      <c r="E84" s="5" t="s">
        <v>23</v>
      </c>
      <c r="F84" s="8"/>
      <c r="G84" s="6" t="s">
        <v>339</v>
      </c>
      <c r="H84" s="6" t="s">
        <v>338</v>
      </c>
      <c r="I84" s="6" t="s">
        <v>286</v>
      </c>
      <c r="J84" s="6" t="s">
        <v>258</v>
      </c>
      <c r="K84" s="6" t="s">
        <v>258</v>
      </c>
      <c r="L84" s="7"/>
      <c r="M84" s="7" t="s">
        <v>30</v>
      </c>
      <c r="N84" s="7" t="s">
        <v>37</v>
      </c>
      <c r="O84" s="5" t="s">
        <v>41</v>
      </c>
      <c r="P84" s="23">
        <v>44652.451168981483</v>
      </c>
      <c r="Q84" s="7" t="s">
        <v>41</v>
      </c>
      <c r="R84" s="23">
        <v>44652.451168981483</v>
      </c>
    </row>
    <row r="85" spans="1:18" ht="15" hidden="1" customHeight="1">
      <c r="A85" s="31">
        <v>76</v>
      </c>
      <c r="B85" s="5" t="s">
        <v>341</v>
      </c>
      <c r="C85" s="5" t="s">
        <v>342</v>
      </c>
      <c r="D85" s="5" t="s">
        <v>8</v>
      </c>
      <c r="E85" s="5" t="s">
        <v>23</v>
      </c>
      <c r="F85" s="8"/>
      <c r="G85" s="6" t="s">
        <v>343</v>
      </c>
      <c r="H85" s="6" t="s">
        <v>344</v>
      </c>
      <c r="I85" s="6" t="s">
        <v>345</v>
      </c>
      <c r="J85" s="6" t="s">
        <v>346</v>
      </c>
      <c r="K85" s="6" t="s">
        <v>347</v>
      </c>
      <c r="L85" s="7"/>
      <c r="M85" s="7" t="s">
        <v>30</v>
      </c>
      <c r="N85" s="7" t="s">
        <v>37</v>
      </c>
      <c r="O85" s="5" t="s">
        <v>41</v>
      </c>
      <c r="P85" s="23">
        <v>44657.358715277776</v>
      </c>
      <c r="Q85" s="7" t="s">
        <v>41</v>
      </c>
      <c r="R85" s="23">
        <v>44657.376770833333</v>
      </c>
    </row>
    <row r="88" spans="1:18" ht="15" customHeight="1">
      <c r="B88" s="38" t="s">
        <v>10</v>
      </c>
      <c r="C88" s="38" t="s">
        <v>22</v>
      </c>
      <c r="E88" s="22"/>
    </row>
    <row r="89" spans="1:18" ht="15" customHeight="1">
      <c r="B89" s="39" t="str" cm="1">
        <f t="array" ref="B89:C92">Dashboard!H34:I37</f>
        <v>Passed</v>
      </c>
      <c r="C89" s="39">
        <v>73</v>
      </c>
      <c r="D89" s="22"/>
      <c r="E89" s="22"/>
    </row>
    <row r="90" spans="1:18" ht="15" customHeight="1">
      <c r="B90" s="39" t="str">
        <v>Failed</v>
      </c>
      <c r="C90" s="39">
        <v>3</v>
      </c>
    </row>
    <row r="91" spans="1:18" ht="15" customHeight="1">
      <c r="B91" s="39" t="str">
        <v>Not Executed</v>
      </c>
      <c r="C91" s="39">
        <v>0</v>
      </c>
    </row>
    <row r="92" spans="1:18" ht="15" customHeight="1">
      <c r="B92" s="39" t="str">
        <v>Not Ready</v>
      </c>
      <c r="C92" s="39">
        <v>0</v>
      </c>
    </row>
    <row r="93" spans="1:18" ht="15" customHeight="1">
      <c r="B93" s="40" t="s">
        <v>34</v>
      </c>
      <c r="C93" s="40">
        <f>SUM(C89:C92)</f>
        <v>76</v>
      </c>
    </row>
  </sheetData>
  <mergeCells count="4">
    <mergeCell ref="C5:D5"/>
    <mergeCell ref="C3:D3"/>
    <mergeCell ref="C4:D4"/>
    <mergeCell ref="C6:D6"/>
  </mergeCells>
  <dataValidations count="5">
    <dataValidation type="list" allowBlank="1" showInputMessage="1" showErrorMessage="1" sqref="D10:D85" xr:uid="{00000000-0002-0000-0000-000001000000}">
      <formula1>typeTestList</formula1>
    </dataValidation>
    <dataValidation type="list" allowBlank="1" showInputMessage="1" showErrorMessage="1" sqref="B10:B85" xr:uid="{00000000-0002-0000-0000-000000000000}">
      <formula1>pageList</formula1>
    </dataValidation>
    <dataValidation type="list" allowBlank="1" showInputMessage="1" showErrorMessage="1" sqref="E10:E85" xr:uid="{AB3C7D48-6248-BF44-BC67-9601FA3FEF51}">
      <formula1>statusList</formula1>
    </dataValidation>
    <dataValidation type="list" allowBlank="1" showInputMessage="1" showErrorMessage="1" sqref="M10:M85" xr:uid="{B8EBAFA2-42E0-C149-B2F2-1BAED273F9DD}">
      <formula1>priorityList</formula1>
    </dataValidation>
    <dataValidation type="list" allowBlank="1" showInputMessage="1" showErrorMessage="1" sqref="N10:O85 Q10:Q85" xr:uid="{797079AC-8B14-9B4A-BC48-F63FF901A58C}">
      <formula1>picList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ButtonAddTestCase_Click">
                <anchor moveWithCells="1" sizeWithCells="1">
                  <from>
                    <xdr:col>0</xdr:col>
                    <xdr:colOff>76200</xdr:colOff>
                    <xdr:row>6</xdr:row>
                    <xdr:rowOff>0</xdr:rowOff>
                  </from>
                  <to>
                    <xdr:col>1</xdr:col>
                    <xdr:colOff>853440</xdr:colOff>
                    <xdr:row>6</xdr:row>
                    <xdr:rowOff>190500</xdr:rowOff>
                  </to>
                </anchor>
              </controlPr>
            </control>
          </mc:Choice>
        </mc:AlternateContent>
        <mc:AlternateContent xmlns:mc="http://schemas.openxmlformats.org/markup-compatibility/2006">
          <mc:Choice Requires="x14">
            <control shapeId="1055" r:id="rId5" name="Button 31">
              <controlPr defaultSize="0" print="0" autoFill="0" autoPict="0" macro="[0]!ButtonDeleteTestCase_Click">
                <anchor moveWithCells="1" sizeWithCells="1">
                  <from>
                    <xdr:col>1</xdr:col>
                    <xdr:colOff>929640</xdr:colOff>
                    <xdr:row>6</xdr:row>
                    <xdr:rowOff>0</xdr:rowOff>
                  </from>
                  <to>
                    <xdr:col>1</xdr:col>
                    <xdr:colOff>2156460</xdr:colOff>
                    <xdr:row>6</xdr:row>
                    <xdr:rowOff>190500</xdr:rowOff>
                  </to>
                </anchor>
              </controlPr>
            </control>
          </mc:Choice>
        </mc:AlternateContent>
      </controls>
    </mc:Choice>
  </mc:AlternateContent>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10" id="{D74F88F4-B181-1546-B3FC-BD6ADD742F1D}">
            <xm:f>$E10=Dashboard!$H$37</xm:f>
            <x14:dxf>
              <font>
                <color theme="2" tint="-0.89996032593768116"/>
              </font>
              <fill>
                <patternFill>
                  <fgColor auto="1"/>
                  <bgColor theme="3" tint="0.79998168889431442"/>
                </patternFill>
              </fill>
            </x14:dxf>
          </x14:cfRule>
          <x14:cfRule type="expression" priority="11" id="{264D5D4A-A35F-4946-813E-408A03274DAD}">
            <xm:f>$E10=Dashboard!$H$36</xm:f>
            <x14:dxf>
              <font>
                <color theme="2" tint="-0.89996032593768116"/>
              </font>
              <fill>
                <patternFill>
                  <fgColor auto="1"/>
                  <bgColor theme="0" tint="-4.9989318521683403E-2"/>
                </patternFill>
              </fill>
            </x14:dxf>
          </x14:cfRule>
          <x14:cfRule type="expression" priority="12" id="{9D6610C4-829E-40B1-9539-3F8D2270CBC0}">
            <xm:f>$E10=Dashboard!$H$35</xm:f>
            <x14:dxf>
              <font>
                <color theme="1"/>
              </font>
              <fill>
                <patternFill>
                  <bgColor theme="5" tint="0.79998168889431442"/>
                </patternFill>
              </fill>
            </x14:dxf>
          </x14:cfRule>
          <x14:cfRule type="expression" priority="13" id="{CE8CA732-719E-45E0-9A53-A6031CBE476B}">
            <xm:f>$E10=Dashboard!$H$34</xm:f>
            <x14:dxf>
              <font>
                <color theme="1"/>
              </font>
              <fill>
                <patternFill>
                  <bgColor theme="9" tint="0.79998168889431442"/>
                </patternFill>
              </fill>
            </x14:dxf>
          </x14:cfRule>
          <xm:sqref>A10:E85 G10:R85</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2"/>
  <sheetViews>
    <sheetView showGridLines="0" workbookViewId="0">
      <selection activeCell="G2" sqref="G2"/>
    </sheetView>
  </sheetViews>
  <sheetFormatPr defaultColWidth="8.796875" defaultRowHeight="15.6"/>
  <cols>
    <col min="1" max="1" width="57.796875" customWidth="1"/>
  </cols>
  <sheetData>
    <row r="1" spans="1:1">
      <c r="A1" s="2" t="s">
        <v>13</v>
      </c>
    </row>
    <row r="2" spans="1:1" ht="265.2">
      <c r="A2" s="1" t="s">
        <v>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6</vt:i4>
      </vt:variant>
    </vt:vector>
  </HeadingPairs>
  <TitlesOfParts>
    <vt:vector size="9" baseType="lpstr">
      <vt:lpstr>Dashboard</vt:lpstr>
      <vt:lpstr>Test Case</vt:lpstr>
      <vt:lpstr>MACRO</vt:lpstr>
      <vt:lpstr>list_test_case</vt:lpstr>
      <vt:lpstr>pageList</vt:lpstr>
      <vt:lpstr>picList</vt:lpstr>
      <vt:lpstr>priorityList</vt:lpstr>
      <vt:lpstr>statusList</vt:lpstr>
      <vt:lpstr>typeTestList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Template Test Case - ProjectName</dc:title>
  <dc:subject/>
  <dc:creator>Ade Aditya</dc:creator>
  <cp:keywords/>
  <dc:description/>
  <cp:lastModifiedBy>ahmad sauki</cp:lastModifiedBy>
  <cp:revision/>
  <dcterms:created xsi:type="dcterms:W3CDTF">2021-09-10T01:15:16Z</dcterms:created>
  <dcterms:modified xsi:type="dcterms:W3CDTF">2022-04-09T08:04:05Z</dcterms:modified>
  <cp:category/>
  <cp:contentStatus/>
</cp:coreProperties>
</file>