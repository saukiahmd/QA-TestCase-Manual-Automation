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teknologi\007. Sauki\Test hrsystem\"/>
    </mc:Choice>
  </mc:AlternateContent>
  <xr:revisionPtr revIDLastSave="0" documentId="13_ncr:1_{7F7EC15E-40AC-4A34-AE9E-03AD0738ADCE}"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Case'!$A$9:$S$9</definedName>
    <definedName name="cityList">#REF!</definedName>
    <definedName name="list_test_case">'Test Case'!$A$10:$S$136</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8" i="12" l="1"/>
  <c r="C37" i="12"/>
  <c r="O37" i="12"/>
  <c r="O38" i="12"/>
  <c r="O39" i="12"/>
  <c r="O40" i="12"/>
  <c r="C35" i="12"/>
  <c r="C36" i="12"/>
  <c r="C34" i="12" l="1"/>
  <c r="O34" i="12"/>
  <c r="O35" i="12"/>
  <c r="O36" i="12"/>
  <c r="L34" i="12"/>
  <c r="L35" i="12"/>
  <c r="L36" i="12"/>
  <c r="L37" i="12"/>
  <c r="I35" i="12"/>
  <c r="I36" i="12"/>
  <c r="I37" i="12"/>
  <c r="I34" i="12"/>
  <c r="F34" i="12"/>
  <c r="F35" i="12"/>
  <c r="B139" i="9" l="1" a="1"/>
  <c r="B139" i="9" s="1"/>
  <c r="C140" i="9" l="1"/>
  <c r="C139" i="9"/>
  <c r="B141" i="9"/>
  <c r="C141" i="9"/>
  <c r="B142" i="9"/>
  <c r="B140" i="9"/>
  <c r="C142" i="9"/>
  <c r="C14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<sst xmlns="http://schemas.openxmlformats.org/spreadsheetml/2006/main" count="1676" uniqueCount="562">
  <si>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</si>
  <si>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</si>
  <si>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</si>
  <si>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</si>
  <si>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</si>
  <si>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</si>
  <si>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</si>
  <si>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</si>
  <si>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</si>
  <si>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</si>
  <si>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</si>
  <si>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</si>
  <si>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</si>
  <si>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</si>
  <si>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</si>
  <si>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</si>
  <si>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</si>
  <si>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</si>
  <si>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</si>
  <si>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</si>
  <si>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</si>
  <si>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</si>
  <si>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Total</t>
  </si>
  <si>
    <t>Passed</t>
  </si>
  <si>
    <t>Failed</t>
  </si>
  <si>
    <t>Not Executed</t>
  </si>
  <si>
    <t>PRIORITY</t>
  </si>
  <si>
    <t xml:space="preserve">PRIORITY </t>
  </si>
  <si>
    <t>Urgent</t>
  </si>
  <si>
    <t>High</t>
  </si>
  <si>
    <t>Medium</t>
  </si>
  <si>
    <t>Low</t>
  </si>
  <si>
    <t>TYPE TEST</t>
  </si>
  <si>
    <t>PAGE</t>
  </si>
  <si>
    <t>TOTAL</t>
  </si>
  <si>
    <t xml:space="preserve"> </t>
  </si>
  <si>
    <t>INPUT VALUE</t>
  </si>
  <si>
    <t>1.2. Employees - Edit Employees - Bank Account</t>
  </si>
  <si>
    <t>1.3. Employees - Edit Employees - Social Media</t>
  </si>
  <si>
    <t>Sauki</t>
  </si>
  <si>
    <t>Ardhi</t>
  </si>
  <si>
    <t>Antok</t>
  </si>
  <si>
    <t>Lathifah</t>
  </si>
  <si>
    <t>Priscilla</t>
  </si>
  <si>
    <t>Rizka</t>
  </si>
  <si>
    <t>SCENARIO
ID</t>
  </si>
  <si>
    <t>S110001</t>
  </si>
  <si>
    <t>1. Google Chrome
2. URL sesuai detail diatas
3. Data user login</t>
  </si>
  <si>
    <t>1.1. Dashboard</t>
  </si>
  <si>
    <t>Akses halaman dashboard</t>
  </si>
  <si>
    <t>1. Buka browser google chrome
2. Masukkan url sesuai detail diatas
3. Masukkan email
4. Masukkan password
5. Klik tombol "log in"</t>
  </si>
  <si>
    <t>Berhasil masuk ke halaman dashboard</t>
  </si>
  <si>
    <t>S120001</t>
  </si>
  <si>
    <t xml:space="preserve">1. S110001
</t>
  </si>
  <si>
    <t>S120002</t>
  </si>
  <si>
    <t>Untuk kolom bank account number,
placeholdernya tidak ada</t>
  </si>
  <si>
    <t>1. Data user login
    a. Email : superadmin@mail.com
    b. Password : Password@123</t>
  </si>
  <si>
    <t>1. Data bank account
    a. Bank holder name : Dimas Pratama
    b. Bank name : Mandiri
    c. Branch name : KCP Jakarta ITC Fatmawati
    d. Bank account number : 1234567890987
    e. Bank account type : Konvensional</t>
  </si>
  <si>
    <t>Berhasil merubah data bank account</t>
  </si>
  <si>
    <t>1. S120001
2. Data bank account</t>
  </si>
  <si>
    <t>S120003</t>
  </si>
  <si>
    <t>Merubah data bank account ambar aprilia dimana kolom bank account type di kosongkan</t>
  </si>
  <si>
    <t>1. Data bank account
    a. Bank holder name : Ambar Aprilia
    b. Bank name : Bank Central Asia
    c. Branch name : KCU Blok A Cipete
    d. Bank account number : 1234567890</t>
  </si>
  <si>
    <t>S120004</t>
  </si>
  <si>
    <t>Merubah data bank account natasya atsyifa dimana kolom branch name di kosongkan</t>
  </si>
  <si>
    <t>1. Data bank account
    a. Bank holder name : Natasya Atsyifa
    b. Bank name : Bank Nasional Indonesia
    c. Bank account number : 1234567890
    d. Bank account type : Konvensional</t>
  </si>
  <si>
    <t>S120005</t>
  </si>
  <si>
    <t>Merubah data bank account andika dana dimana kolom branch name dan account type di kosongkan</t>
  </si>
  <si>
    <t>1. Data bank account
    a. Bank holder name : Andika Dana
    b. Bank name : Bank Rakyat Indonesia
    c. Bank account number : 123456789098765</t>
  </si>
  <si>
    <t>S120006</t>
  </si>
  <si>
    <t>1. Data bank account
    a. Bank name : Bank Nasional Indonesia
    b. Branch name : KCP Jakarta ITC Fatmawati
    c. Bank account number : 1234567890
    d. Bank account type : Konvensional</t>
  </si>
  <si>
    <t>Gagal merubah data bank account dan menampilkan notifikasi teks This field is required.</t>
  </si>
  <si>
    <t>S120007</t>
  </si>
  <si>
    <t>S120008</t>
  </si>
  <si>
    <t>1. Data bank account
    a. Bank holder name : Nadine Amizah
    b. Branch name : KCP Jakarta ITC Fatmawati
    c. Bank account number : 1234567890
    d. Bank account type : Konvensional</t>
  </si>
  <si>
    <t>1. Data bank account
    a. Bank holder name : Nadine Amizah
    b. Bank name : Bank Nasional Indonesia
    c. Branch name : KCP Jakarta ITC Fatmawati
    d. Bank account type : Konvensional</t>
  </si>
  <si>
    <t>Merubah data bank account nadine amizah dimana semua kolom diisi kecuali kolom bank holder name</t>
  </si>
  <si>
    <t>Merubah data bank account nadine amizah dimana semua kolom diisi kecuali kolom bank name</t>
  </si>
  <si>
    <t>Merubah data bank account nadine amizah dimana semua kolom diisi kecuali kolom bank account number</t>
  </si>
  <si>
    <t>S120009</t>
  </si>
  <si>
    <t>Merubah data bank account nadine amizah dimana semua kolom diisi kecuali kolom bank bank holder name dan bank name</t>
  </si>
  <si>
    <t>1. Data bank account
    a. Branch name : KCP Jakarta ITC Fatmawati
    b. Bank account number : 1234567890
    c. Bank account type : Konvensional</t>
  </si>
  <si>
    <t>S120010</t>
  </si>
  <si>
    <t>Merubah data bank account nadine amizah dimana semua kolom diisi kecuali kolom bank bank holder name dan bank account number</t>
  </si>
  <si>
    <t>1. Data bank account
    a. Bank name : Bank Nasional Indonesia
    b. Branch name : KCP Jakarta ITC Fatmawati
    c. Bank account type : Konvensional</t>
  </si>
  <si>
    <t>S120011</t>
  </si>
  <si>
    <t>Merubah data bank account nadine amizah dimana semua kolom diisi kecuali kolom bank name dan bank account number</t>
  </si>
  <si>
    <t>1. Data bank account
    a. Bank holder name : Nadine Amizah
    b. Branch name : KCU Blok A Cipete
    c. Bank account type : Konvensional</t>
  </si>
  <si>
    <t>S120012</t>
  </si>
  <si>
    <t>1. Data bank account
    a. Bank holder name : Nadine Amizah
    b. Bank name : Bank
    c. Branch name : KCU Blok A Cipete
    d. Bank account number : 1234567890
    e. Bank account type : Konvensional</t>
  </si>
  <si>
    <t>1. Data bank account
    a. Bank holder name : Nadi
    b. Bank name : Bank Nasional Indonesia
    c. Branch name : KCU Blok A Cipete
    d. Bank account number : 1234567890
    e. Bank account type : Konvensional</t>
  </si>
  <si>
    <t>Gagal merubah data bank account dan menampilkan notifikasi teks Please enter at least 5 characters</t>
  </si>
  <si>
    <t>Merubah data bank account nadine amizah dimana semua kolom diisi dan untuk kolom bank holder name panjang karakter kurang dari 5</t>
  </si>
  <si>
    <t>Merubah data bank accoount nadine amizah dimana semua kolom diisi dan untuk kolom bank name panjang karakter kurang dari 5</t>
  </si>
  <si>
    <t>S120013</t>
  </si>
  <si>
    <t>Merubah data bank account nadine amizah dimana semua kolom diisi dan untuk kolom bank account number panjang karakter kurang dari 5</t>
  </si>
  <si>
    <t>1. Data bank account
    a. Bank holder name : Nadine Amizah
    b. Bank name : Bank Nasional Indonesia
    c. Branch name : KCU Blok A Cipete
    d. Bank account number : 1234
    e. Bank account type : Konvensional</t>
  </si>
  <si>
    <t>S120014</t>
  </si>
  <si>
    <t>Merubah data bank account nadine amizah dimana semua kolom diisi dan untuk kolom bank holder name, bank name panjang karakter kurang dari 5</t>
  </si>
  <si>
    <t>1. Data bank account
    a. Bank holder name : Nadi
    b. Bank name : Bank
    c. Branch name : KCU Blok A Cipete
    d. Bank account number : 1234567890
    e. Bank account type : Konvensional</t>
  </si>
  <si>
    <t>S120015</t>
  </si>
  <si>
    <t>Merubah data bank account nadine amizah dimana semua kolom diisi dan untuk kolom bank holder name, bank account number panjang karakter kurang dari 5</t>
  </si>
  <si>
    <t>1. Data bank account
    a. Bank holder name : Nadi
    b. Bank name : Bank Nasional Indonesia
    c. Branch name : KCU Blok A Cipete
    d. Bank account number : 1234
    e. Bank account type : Konvensional</t>
  </si>
  <si>
    <t>Merubah data bank account nadine amizah dimana semua kolom diisi dan untuk kolom bank  name, bank account number panjang karakter kurang dari 5</t>
  </si>
  <si>
    <t>1. Data bank account
    a. Bank holder name : Nadine Amizah
    b. Bank name : Bank
    c. Branch name : KCU Blok A Cipete
    d. Bank account number : 1234
    e. Bank account type : Konvensional</t>
  </si>
  <si>
    <t>S120016</t>
  </si>
  <si>
    <t>S120017</t>
  </si>
  <si>
    <t>Merubah data bank account nadine amizah dimana semua kolom diisi dan untuk kolom bank holder name, bank name, bank account number panjang karakter kurang dari 5</t>
  </si>
  <si>
    <t>1. Data bank account
    a. Bank holder name : Nadi
    b. Bank name : Bank
    c. Branch name : KCU Blok A Cipete
    d. Bank account number : 1234
    e. Bank account type : Konvensional</t>
  </si>
  <si>
    <t>S120018</t>
  </si>
  <si>
    <t xml:space="preserve">Gagal merubah data bank account </t>
  </si>
  <si>
    <t>S120019</t>
  </si>
  <si>
    <t>Merubah data bank account natasya wilona dimana semua kolom diisi dan untuk kolom bank holder name, bank name, bank account number diisi gabungan antara huruf dan spesial character</t>
  </si>
  <si>
    <t>1. Data bank account
    a. Bank holder name : Natasya!@#$%
    b. Bank name : Bank!@#$%
    c. Branch name : KCU Blok M
    d. Bank account number : 12345!@#$%
    e. Bank account type : Konvensional</t>
  </si>
  <si>
    <t>Untuk kolom bank holder name, 
bank name, dan bank account 
number diberikan validasi untuk 
setiap tipe data yang diinputkan</t>
  </si>
  <si>
    <t>Merubah data bank account reyhan ricky dimana semua kolom di kosongkan</t>
  </si>
  <si>
    <t xml:space="preserve">1. Data bank account
    a. Bank holder name : 
    b. Bank name : 
    c. Branch name : 
    d. Bank account number : 
    e. Bank account type : </t>
  </si>
  <si>
    <t>S120020</t>
  </si>
  <si>
    <t>S120021</t>
  </si>
  <si>
    <t>Merubah data bank account reyhan ricky dimana semua kolom panjang karakter lebih dari 25 karakter</t>
  </si>
  <si>
    <t>1. Data bank account
    a. Bank holder name : bankbankbankbankbankbankbankbank
    b. Bank name : bankbankbankbankbankbankbankbank
    c. Branch name : bankbankbankbankbankbankbankbank
    d. Bank account number : bankbankbankbankbankbankbankbank
    e. Bank account type : bankbankbankbankbankbankbankbank</t>
  </si>
  <si>
    <t>untuk setiap kolom diberikan validasi
mengenai panjang karakter maksimal</t>
  </si>
  <si>
    <t>Berhasil masuk ke halaman employees - edit employees - social media</t>
  </si>
  <si>
    <t>S130001</t>
  </si>
  <si>
    <t>S130002</t>
  </si>
  <si>
    <t>1. S130001
2. Data social media</t>
  </si>
  <si>
    <t>Berhasil merubah data social media</t>
  </si>
  <si>
    <t>Untuk kolom twitter, google +, dan skype
place holdernya tidak ada</t>
  </si>
  <si>
    <t>Gagal merubah data social media dan menampilkan notifikasi teks Please enter a valid url</t>
  </si>
  <si>
    <t>Merubah data social media Kurnia mega dimana hanya kolom facebook yang diisi dan tidak sesuai dengan format url</t>
  </si>
  <si>
    <t>Merubah data social media kurnia mega dimana hanya kolom twitter yang diisi dan tidak sesuai dengan format url</t>
  </si>
  <si>
    <t>1. Data social media
    a. Facebook : facebook</t>
  </si>
  <si>
    <t>S130003</t>
  </si>
  <si>
    <t>S130004</t>
  </si>
  <si>
    <t>S130005</t>
  </si>
  <si>
    <t>Merubah data social media kurnia mega dimana hanya kolom google + yang diisi dan tidak sesuai dengan format url</t>
  </si>
  <si>
    <t>S130006</t>
  </si>
  <si>
    <t>Merubah data social media kurnia mega dimana hanya kolom skype yang diisi dan tidak sesuai dengan format url</t>
  </si>
  <si>
    <t>S130007</t>
  </si>
  <si>
    <t>1. Data social media
    a. Facebook : https://www.facebook.com!@#$/
    b. Twitter : https://twitter.com!@#$/
    c. Google + : https://www.google.com!@#$/
    d. Skype : https://www.skype.com!@#/</t>
  </si>
  <si>
    <t>1. Data social media
    a. Facebook : https://www.facebook.com/
    b. Twitter : https://twitter.com/
    c. Google + : https://www.google.com/
    d. Skype : https://www.skype.com/</t>
  </si>
  <si>
    <t>Merubah data social media kurnia mega dimana semua kolom diisi dan setiap kolom ditambahkan spesial character setelah ".com"</t>
  </si>
  <si>
    <t>Merubah data social media kurnia mega dimana semua kolom diisi dan setiap kolom ditambahkan spesial character setelah "www."</t>
  </si>
  <si>
    <t>1. Data social media
    a. Facebook : https://www!@#$.facebook.com/
    b. Twitter : https://www!@#$.twitter.com/
    c. Google + : https://www!@#$.google.com!@#$/
    d. Skype : https://www!@#$.skype.com!@#/</t>
  </si>
  <si>
    <t>S130008</t>
  </si>
  <si>
    <t>S130009</t>
  </si>
  <si>
    <t>Merubah data social media kurnia mega dimana semua kolom tidak diisi</t>
  </si>
  <si>
    <t>S130010</t>
  </si>
  <si>
    <t>S130011</t>
  </si>
  <si>
    <t>S130012</t>
  </si>
  <si>
    <t>S130013</t>
  </si>
  <si>
    <t>1.4. Assets - Logistic Support</t>
  </si>
  <si>
    <t>1.5. Project - List/Add Task</t>
  </si>
  <si>
    <t>S140001</t>
  </si>
  <si>
    <t>Akses halaman Assets - Logistic Support</t>
  </si>
  <si>
    <t>1. S110001
2. Pilih assets dibagian sidebar
3. Klik logistic support</t>
  </si>
  <si>
    <t>Berhasil masuk ke halaman Assets - Logistic Support</t>
  </si>
  <si>
    <t>S140002</t>
  </si>
  <si>
    <t>Menambah data logistic support dimana semua kolom diisi</t>
  </si>
  <si>
    <t>1. S140001
2. Data logistic support</t>
  </si>
  <si>
    <t>Berhasil menambahkan data logistic support</t>
  </si>
  <si>
    <t>1. Data logistic support
    a. Logistic list : Laptop T10
    b. Project : Project X23
    c. Task list : ini task list
    d. Employee name : Employee dua
    e. Start date : 2020-04-11
     f. End date : 2020-04-12
    g. Assign qty : 5
    h. Remarks : employee dua</t>
  </si>
  <si>
    <t>1. S140001
2. Klik tombol "Add Logistic Support"
3. Pilih logistic list
4. Pilih project
5. Pilih task list
6. Pilih employee name 
7. Masukkan start date
8. Masukkan end date
9. Masukkan assign qty
10. Masukkan remarks
11. Klik tombol "submit"</t>
  </si>
  <si>
    <t>S140003</t>
  </si>
  <si>
    <t>S140004</t>
  </si>
  <si>
    <t>Menambah data logistic support dimana hanya kolom logistic list, project, task list, employee name dan assign qty</t>
  </si>
  <si>
    <t>1. S140001
2. Klik tombol "Add Logistic Support"
3. Pilih logistic list
4. Pilih project
5. Pilih task list
6. Pilih employee name
7. Masukkan assign qty
8. Klik tombol "submit"</t>
  </si>
  <si>
    <t>1. S140001
2. Klik tombol "Add Logistic Support"
3. Pilih logistic list
4. Pilih project
5. Pilih task list
6. Pilih employee name
7. Masukkan start date
8. Masukkan Assign qty
9. Klik tombol "submit"</t>
  </si>
  <si>
    <t>Menambah data logistic support dimana hanya kolom logistic list, project, task list, employee name, start date dan assgin qty</t>
  </si>
  <si>
    <t>S140005</t>
  </si>
  <si>
    <t>Menambah data logistic support dimana hanya kolom logistic list, project, task list, employee name, end date dan assgin qty</t>
  </si>
  <si>
    <t>1. S140001
2. Klik tombol "Add Logistic Support"
3. Pilih logistic list
4. Pilih project
5. Pilih task list
6. Pilih employee name
7. Masukkan end date
8. Masukkan Assign qty
9. Klik tombol "submit"</t>
  </si>
  <si>
    <t>S140006</t>
  </si>
  <si>
    <t>Menambah data logistic support dimana hanya kolom logistic list, project, task list, employee name, assgin qty dan remarks</t>
  </si>
  <si>
    <t>1. S140001
2. Klik tombol "Add Logistic Support"
3. Pilih logistic list
4. Pilih project
5. Pilih task list
6. Pilih employee name
7. Masukkan Assign qty
8. Masukkan remarks
9. Klik tombol "submit"</t>
  </si>
  <si>
    <t>S140007</t>
  </si>
  <si>
    <t xml:space="preserve">Pengecekan sisa stok Laptop T10 setelah di tambah data logistic </t>
  </si>
  <si>
    <t xml:space="preserve">1. Data logistic support
    a. Logistic list : Computer RR12TY
    b. Project : Project X23
    c. Task list : ini tilte task 3
    d. Employee name : Employee dua
    e. Assign qty : 5
     f. Remarks : Employee dua </t>
  </si>
  <si>
    <t>1. Data logistic support
    a. Logistic list : Computer A442u
    b. Project : Project X23
    c. Task list : ini tilte task 3
    d. Employee name : Employee dua
    e. end date : 2022-04-16
     f. Assign qty : 1</t>
  </si>
  <si>
    <t>1. Data logistic support
    a. Logistic list : Computer T10
    b. Project : Project X23
    c. Task list : ini tilte task 4
    d. Employee name : Employee empat
    e. Start date : 2022-04-15
     f. Assign qty : 1</t>
  </si>
  <si>
    <t>1. Data logistic support
    a. Logistic list : Computer a442u
    b. Project : Project X23
    c. Task list : ini tilte task 3
    d. Employee name : Employee empat
    e. Assign qty : 1</t>
  </si>
  <si>
    <t xml:space="preserve">1. Data logistic support
    a. Logistic list : Laptop T10
    b. Project : Project X23
    c. Task list : ini tilte task 3
    d. Employee name : Employee dua
    e. Assign qty : 5
</t>
  </si>
  <si>
    <t>Berhasil menambahkan data logistic support dan sisa stok laptop T10 berkurang 5</t>
  </si>
  <si>
    <t>S140008</t>
  </si>
  <si>
    <t>Menambah data logistic dimana semua kolom diisi dan untuk kolom assign qty diisi dengan tipe data huruf dan spesial character</t>
  </si>
  <si>
    <t>1. Data logistic support
    a. Logistic list : Laptop T10
    b. Project : Project X23
    c. Task list : ini task list
    d. Employee name : Employee dua
    e. Start date : 2020-04-11
     f. End date : 2020-04-12
    g. Assign qty : 5dan!@#
    h. Remarks : employee dua</t>
  </si>
  <si>
    <t>1. S140001
2. Klik tombol "Add Logistic Support"
3. Pilih logistic list
4. Pilih project
5. Pilih task list
6. Pilih employee name
7. Masukkan Assign qty
8. Klik tombol "submit"</t>
  </si>
  <si>
    <t>Gagal menambahkan data logistic support dan menampilkan teks Please enter a value greater than or equal to 0. dikolom assgin qty</t>
  </si>
  <si>
    <t>S140009</t>
  </si>
  <si>
    <t>1. Data logistic support
    a. Logistic list : Computer a442u
    b. Project : Project X23
    c. Task list : ini task list
    d. Employee name : Employee dua
    e. Start date : 2020-04-11
     f. End date : 2020-04-12
    g. Assign qty : 1
    h. Remarks : employee dua</t>
  </si>
  <si>
    <t>S140010</t>
  </si>
  <si>
    <t>Menambah data logistic dimana semua kolom diisi dan untuk assign qty sisa stok "0"</t>
  </si>
  <si>
    <t>1. Data logistic support
    a. Logistic list : Computer a442u
    b. Project : Real Estate Site
    c. Task list : 
    d. Employee name : 
    e. Start date : 2020-04-11
     f. End date : 2020-04-12
    g. Assign qty : 1
    h. Remarks : employee dua</t>
  </si>
  <si>
    <t>Menambah data logistic dimana untuk kolom task list dan employee name value kosong</t>
  </si>
  <si>
    <t>1. S140001
2. Klik tombol "Add Logistic Support"
3. Pilih logistic list
4. Pilih project
5. Pilih task list
6. Masukkan start date
7. Masukkan end date
8. Masukkan assign qty
9. Masukkan remarks
10. Klik tombol "submit"</t>
  </si>
  <si>
    <t>S140011</t>
  </si>
  <si>
    <t>Menambah data logistic dimana untuk kolom employee name value kosong</t>
  </si>
  <si>
    <t>1. Data logistic support
    a. Logistic list : Computer a442u
    b. Project : Project X23
    c. Task list : ini tilte task 2
    d. Employee name : 
    e. Start date : 2020-04-11
     f. End date : 2020-04-12
    g. Assign qty : 1
    h. Remarks : employee dua</t>
  </si>
  <si>
    <t>Gagal menambahkan data logistic support dan menampilkan teks Employee Name This field is required. dikolom task list</t>
  </si>
  <si>
    <t>Gagal menambahkan data logistic support dan menampilkan teks Employee Name This field is required. dikolom employee name</t>
  </si>
  <si>
    <t>S140012</t>
  </si>
  <si>
    <t>Menambah data logistic dimana semua kolom diisi lalu klik "cancel"</t>
  </si>
  <si>
    <t>1. Data logistic support
    a. Logistic list : Computer a442u
    b. Project : Project X23
    c. Task list : ini tilte task 3
    d. Employee name : 
    e. Start date : 2020-04-11
     f. End date : 2020-04-12
    g. Assign qty : 1
    h. Remarks : employee dua</t>
  </si>
  <si>
    <t>Gagal menambahkan data logistic support dan menyimpan nilai sebelumnya diinputkan</t>
  </si>
  <si>
    <t>1. S140001
2. Klik tombol "Add Logistic Support"
3. Pilih logistic list
4. Pilih project
5. Pilih task list
6. Pilih employee name 
7. Masukkan start date
8. Masukkan end date
9. Masukkan assign qty
10. Masukkan remarks
11. Klik tombol "cancel"
12. Klik tombol "Add Logisitic Support"</t>
  </si>
  <si>
    <t>S140013</t>
  </si>
  <si>
    <t>Mencopy data logistic support list dengan klik tombol "copy"</t>
  </si>
  <si>
    <t>1. S140001
2. Klik tombol "copy"</t>
  </si>
  <si>
    <t>Berhasil mencopy data logistic support list</t>
  </si>
  <si>
    <t>S140014</t>
  </si>
  <si>
    <t>Mendownload data logistic support list dengan tipe file CSV, klik tombol CSV</t>
  </si>
  <si>
    <t xml:space="preserve">1. S140001
</t>
  </si>
  <si>
    <t>1. S140001
2. Klik tombol "csv"</t>
  </si>
  <si>
    <t>Berhasil mendownload data logistic support list dengan tipe file csv</t>
  </si>
  <si>
    <t>S140015</t>
  </si>
  <si>
    <t>Mendownload data logistic support list dengan tipe file Excel, klik tombol excel</t>
  </si>
  <si>
    <t>1. S140001
2. Klik tombol "excel"</t>
  </si>
  <si>
    <t>Berhasil mendownload data logistic support list dengan tipe file excel</t>
  </si>
  <si>
    <t>S140016</t>
  </si>
  <si>
    <t>Mendownload data logistic support list dengan tipe file PDF, klik tombol pdf</t>
  </si>
  <si>
    <t>Berhasil mendownload data logistic support list dengan tipe file pdf</t>
  </si>
  <si>
    <t>1. S140001
2. Klik tombol "pdf"
3. Klik icon folder di kanan atas</t>
  </si>
  <si>
    <t>S140017</t>
  </si>
  <si>
    <t>Menambah data logistic dimana semua kolom diisi dan untuk kolom end date lebih kecil dari start date</t>
  </si>
  <si>
    <t>1. Data logistic support
    a. Logistic list : Laptop T10
    b. Project : Project X23
    c. Task list : ini task list
    d. Employee name : employee dua
    e. Start date : 2022-04-30
     f. End date : 2022-03-1
    g. Assign qty : 1
    h. Remarks : employee dua</t>
  </si>
  <si>
    <t>1. S140001
2. Klik tombol "Add Logistic Support"
3. Pilih logistic list
4. Pilih project
5. Pilih task list
6. Pilih employee name 
7. Masukkan start date
8. Masukkan end date
9. Masukkan assign qty
10. Masukkan remarks
11. Klik tombol "save"</t>
  </si>
  <si>
    <t xml:space="preserve">Gagal menambahkan data logistic support </t>
  </si>
  <si>
    <t>Ditambahkan validasi mengenai 
kolom end date dikarenakan tanggal 
yang diisikan bisa lebih kecil dari start date</t>
  </si>
  <si>
    <t>S140018</t>
  </si>
  <si>
    <t>print data logistic support list</t>
  </si>
  <si>
    <t>Berhasil print data logistic support list</t>
  </si>
  <si>
    <t>1. S140001
2. Klik tombol "print"
3. Klik tombol "cetak"</t>
  </si>
  <si>
    <t>S140019</t>
  </si>
  <si>
    <t>1. Keyword : computer</t>
  </si>
  <si>
    <t>1. S140001
2. Masukkan keyword didalam kolom filter search</t>
  </si>
  <si>
    <t>Berhasil menampilkan data yang mengandung huruf keyword tersebut</t>
  </si>
  <si>
    <t>Melakukan sorting ascending untuk kolom assets</t>
  </si>
  <si>
    <t>Berhasil sorting berdasarkan ascending</t>
  </si>
  <si>
    <t>S140020</t>
  </si>
  <si>
    <t>S140021</t>
  </si>
  <si>
    <t>Melakukan sorting descending untuk kolom assets</t>
  </si>
  <si>
    <t>Berhasil sorting berdasarkan descending</t>
  </si>
  <si>
    <t>S140022</t>
  </si>
  <si>
    <t>Melakukan sorting ascending untuk kolom assign user</t>
  </si>
  <si>
    <t>S140023</t>
  </si>
  <si>
    <t>Melakukan sorting descending untuk kolom assign user</t>
  </si>
  <si>
    <t>S140024</t>
  </si>
  <si>
    <t>Melakukan sorting ascending untuk kolom task name</t>
  </si>
  <si>
    <t>1. S140001
2. Klik icon segitiga pada kolom assets</t>
  </si>
  <si>
    <t>1. S140001
2. Double klik icon segitiga pada kolom assets</t>
  </si>
  <si>
    <t>1. S140001
2. Klik icon segitiga pada kolom assign user</t>
  </si>
  <si>
    <t>1. S140001
2. Double klik icon segitiga pada kolom assign user</t>
  </si>
  <si>
    <t>S140025</t>
  </si>
  <si>
    <t>Melakukan sorting descending untuk kolom task name</t>
  </si>
  <si>
    <t>1. S140001
2. Klik icon segitiga pada kolom task name</t>
  </si>
  <si>
    <t>1. S140001
2. double klik icon segitiga pada kolom task name</t>
  </si>
  <si>
    <t>S140026</t>
  </si>
  <si>
    <t>Melakukan sorting ascending untuk kolom qty</t>
  </si>
  <si>
    <t>1. S140001
2. Klik icon segitiga pada kolom qty</t>
  </si>
  <si>
    <t>S140027</t>
  </si>
  <si>
    <t>Melakukan sorting descending untuk kolom qty</t>
  </si>
  <si>
    <t>1. S140001
2. double klik icon segitiga pada kolom qty</t>
  </si>
  <si>
    <t>S140028</t>
  </si>
  <si>
    <t>Melakukan sorting ascending untuk kolom end date</t>
  </si>
  <si>
    <t>1. S140001
2. double klik icon segitiga pada kolom end date</t>
  </si>
  <si>
    <t>S140029</t>
  </si>
  <si>
    <t>1. Keyword : `!@#</t>
  </si>
  <si>
    <t>Gagal menampilkan data yang mengandung huruf keyword tersebut</t>
  </si>
  <si>
    <t>S140039</t>
  </si>
  <si>
    <t>S140030</t>
  </si>
  <si>
    <t>Melakukan sorting ascending untuk kolom back date</t>
  </si>
  <si>
    <t>1. S140001
2. Klik icon segitiga pada kolom end date</t>
  </si>
  <si>
    <t>S140031</t>
  </si>
  <si>
    <t>Melakukan sorting descending untuk kolom back date</t>
  </si>
  <si>
    <t>1. S140001
2. Klik icon segitiga pada kolom back date</t>
  </si>
  <si>
    <t>1. S140001
2. double klik icon segitiga pada kolom back date</t>
  </si>
  <si>
    <t>S140032</t>
  </si>
  <si>
    <t>Melakukan sorting descending untuk kolom end date</t>
  </si>
  <si>
    <t>S140033</t>
  </si>
  <si>
    <t>Melakukan sorting ascending untuk kolom back qty</t>
  </si>
  <si>
    <t>1. S140001
2. Klik icon segitiga pada kolom back qty</t>
  </si>
  <si>
    <t>S140034</t>
  </si>
  <si>
    <t>Melakukan sorting descending untuk kolom back qty</t>
  </si>
  <si>
    <t>1. S140001
2. double klik icon segitiga pada kolom back qty</t>
  </si>
  <si>
    <t>S140035</t>
  </si>
  <si>
    <t>Akses halaman edit data logsitic support</t>
  </si>
  <si>
    <t>1. S140001
2. Klik icon edit pada bagian data yang ingin diedit</t>
  </si>
  <si>
    <t>Berhasil menampilkan halaman edit data logistic support</t>
  </si>
  <si>
    <t>S140036</t>
  </si>
  <si>
    <t>1. S140035
2. Data logistic support</t>
  </si>
  <si>
    <t>1. Data logistic support
    a. Project : Project X23
    b. Logistic List : Computer a442u
    c. Task list : ini task list
    d. Employee name : employee dua
    e. Start date : 2022-04-12
     f. End date : 2022-05-10
    g. Refund date : 2022-05-11
    h. Assign qty : 7
    i. Refund qty : 7
    j. Remarks : employee dua</t>
  </si>
  <si>
    <t>Berhasil merubah data logistic support</t>
  </si>
  <si>
    <t>S140037</t>
  </si>
  <si>
    <t>1. S140035
2. Pilih project
3. Pilih logistic list
4. Pilih task list
5. pilih assign user
6. Masukkan start date
7. Masukkan end date
8. Masukkan refund date
9. Masukkan assign qty
10. Masukkan refund qty
11. Masukkan remarks
12. Klik tombol "submit"</t>
  </si>
  <si>
    <t>Tidak adanya relasi antara kolom project 
dan task list sedangkan di bagian tambah 
data pada kolom project dan task list saling berelasi</t>
  </si>
  <si>
    <t>Pengecekan relasi antar kolom yaitu kolom project dan task list</t>
  </si>
  <si>
    <t>1. Data logistic support
    a. Project : Real Estate Site 
    b. task list : teting aplikasi</t>
  </si>
  <si>
    <t>1. S140035
2. Pilih project
3. Pilih task list</t>
  </si>
  <si>
    <t>Data kolom yang dipilih saling berelasi seperti pada bagian tambah data</t>
  </si>
  <si>
    <t>Data kolom yang dipilih tidak saling berelasi seperti pada bagian tambah data</t>
  </si>
  <si>
    <t>S140038</t>
  </si>
  <si>
    <t>Pengecekan relasi antar kolom yaitu kolom task list dan assign user</t>
  </si>
  <si>
    <t>1. Data logistic support
    a. Project : Project X23 
    b. Task List : buat prediksi
    c. Assign User : Employee dua</t>
  </si>
  <si>
    <t>1. S140035
2. Pilih project
3. Pilih task list
4. Pilih assign user</t>
  </si>
  <si>
    <t>Tidak adanya relasi antara kolom task list 
dan assign user sedangkan di bagian tambah 
data pada kolom task list dan assign user saling berelasi</t>
  </si>
  <si>
    <t>1. Data logistic support
    a. Project : Project X23
    b. Logistic List : Computer a442u
    c. Task list : ini task list 3
    d. assign user : employee empat
    e. Start date : 2022-07-12
     f. End date : 2022-01-10
    g. Refund date : 2022-07-12
    h. Assign qty : 1
    i. Refund qty : 1
    j. Remarks : employee empat</t>
  </si>
  <si>
    <t xml:space="preserve">Gagal merubah data logistic support </t>
  </si>
  <si>
    <t xml:space="preserve">Berhasil merubah data logistic support </t>
  </si>
  <si>
    <t>S140040</t>
  </si>
  <si>
    <t>1. Data logistic support
    a. Project : Project X23
    b. Logistic List : Computer RR12TY
    c. Task list : ini tiltle task 3
    d. assign user : employee dua
    e. Start date : 2022-04-12
     f. End date : 2022-04-17
    g. Refund date : 2022-01-12
    h. Assign qty : 5
    i. Refund qty : 5
    j. Remarks : employee dua</t>
  </si>
  <si>
    <t>Ditambahkan validasi mengenai 
kolom refund date dikarenakan tanggal 
yang diisikan bisa lebih kecil dari start date</t>
  </si>
  <si>
    <t>S140041</t>
  </si>
  <si>
    <t>Merubah data pada salah satu data dimana semua kolom diisi dan untuk kolom end date lebih kecil dari start date</t>
  </si>
  <si>
    <t xml:space="preserve">Merubah data pada salah satu data dimana semua kolom diisi </t>
  </si>
  <si>
    <t>Merubah data pada salah data dimana semua kolom diisi dan untuk kolom start date lebih besar dari back date</t>
  </si>
  <si>
    <t>Merubah data pada salah satu data dimana semua kolom diisi dan untuk kolom assign qty diinputkan huruf dan spesial karakter</t>
  </si>
  <si>
    <t>1. Data logistic support
    a. Project : Project X23
    b. Logistic List : Computer RR12TY
    c. Task list : ini tiltle task 3
    d. assign user : employee dua
    e. Start date : 2022-04-12
     f. End date : 2022-04-17
    g. Refund date : 2022-01-12
    h. Assign qty : 5a!
    i. Refund qty : 5
    j. Remarks : employee dua</t>
  </si>
  <si>
    <t>Gagal merubah data logistic support dan menampilkan pesan teks Please enter a value greater than or equal to 0.</t>
  </si>
  <si>
    <t>S140042</t>
  </si>
  <si>
    <t>Merubah data pada salah satu data dimana semua kolom diisi dan untuk kolom refund qty diinputkan huruf dan spesial karakter</t>
  </si>
  <si>
    <t>1. Data logistic support
    a. Project : Project X23
    b. Logistic List : Computer RR12TY
    c. Task list : ini tiltle task 3
    d. assign user : employee dua
    e. Start date : 2022-04-12
     f. End date : 2022-04-17
    g. Refund date : 2022-01-12
    h. Assign qty : 5
    i. Refund qty : 5a!
    j. Remarks : employee dua</t>
  </si>
  <si>
    <t>refund qty merupakan tipe data integer sedangkan ketika diinputkan huruf dan spesial karakter berhasil dirubah,
diberikan validasi mengenai tipe integer</t>
  </si>
  <si>
    <t>S140043</t>
  </si>
  <si>
    <t>Merubah data pada salah satu data dimana semua kolom diisi dan untuk kolom refund qty lebih besar dari assign qty</t>
  </si>
  <si>
    <t>1. Data logistic support
    a. Project : Project X23
    b. Logistic List : Computer a442u
    c. Task list : ini tiltle task 3
    d. assign user : employee empat
    e. Start date : 2022-07-12
     f. End date : 2022-08-10
    g. Refund date : 2022-08-12
    h. Assign qty : 1
    i. Refund qty : 12
    j. Remarks : employee empat</t>
  </si>
  <si>
    <t>Ditambahkan validasi mengenai 
kolom refund qty dikarenakan nilai 
yang diisikan bisa lebih besar dari assign qty</t>
  </si>
  <si>
    <t>S140044</t>
  </si>
  <si>
    <t>Merubah data pada salah satu data dimana semua kolom diisi lalu klik cancel</t>
  </si>
  <si>
    <t>1. Data logistic support
    a. Project : Project X23
    b. Logistic List : Laptop T10
    c. Task list : ini task list
    d. assign user : employee dua
    e. Start date : 2022-07-12
     f. End date : 2022-08-10
    g. Refund date : 2022-08-12
    h. Assign qty : 3
    i. Refund qty : 1
    j. Remarks : employee dua</t>
  </si>
  <si>
    <t>Data yang diinputkan ketika melakukan edit terhapus</t>
  </si>
  <si>
    <t>berhasil data yang diinputkan ketika melakukan edit terhapus</t>
  </si>
  <si>
    <t>S140045</t>
  </si>
  <si>
    <t>Merubah data pada salah satu data dimana hanya kolom project, logistic list, task list, assign user, assign qty dan refund qty</t>
  </si>
  <si>
    <t>1. Data logistic support
    a. Project : Project X23
    b. Logistic List : Laptop T10
    c. Task list : ini task list
    d. assign user : employee dua
    e. Assign qty : 3
    f. Refund qty : 3</t>
  </si>
  <si>
    <t>1. S140035
2. Pilih project
3. Pilih logistic list
4. Pilih task list
5. pilih assign user
6. Masukkan assign qty
7. Masukkan refund qty
8. Klik tombol "submit"</t>
  </si>
  <si>
    <t>S140046</t>
  </si>
  <si>
    <t>Pengecekan tombol next dibagian pagination</t>
  </si>
  <si>
    <t>1. S140001
2. Klik tombol "next"</t>
  </si>
  <si>
    <t>1. S140001</t>
  </si>
  <si>
    <t>Berhasil menampilkan data selanjutnya dan menampilkan data 11 sampai 20 dari 21 total data</t>
  </si>
  <si>
    <t>S140047</t>
  </si>
  <si>
    <t>Pengecekan tombol previous dibagian pagination</t>
  </si>
  <si>
    <t>1. S140001
2. Klik tombol "previous"</t>
  </si>
  <si>
    <t>Berhasil menampilkan data sebelumnya dan menampilkan data 1 sampai 10 dari 21 total data</t>
  </si>
  <si>
    <t>Pengecekan tombol 2 dibagian pagination</t>
  </si>
  <si>
    <t>1. S140001
2. Klik tombol "2"</t>
  </si>
  <si>
    <t>S140048</t>
  </si>
  <si>
    <t>S150001</t>
  </si>
  <si>
    <t>Akses halaman Project - List/Add Task</t>
  </si>
  <si>
    <t>1. S110001
2. Pilih project dibagian sidebar
3. Klik task list</t>
  </si>
  <si>
    <t>Berhasil akses halaman Project - List/Add Task</t>
  </si>
  <si>
    <t>S150002</t>
  </si>
  <si>
    <t>Akses halaman tambah data add task</t>
  </si>
  <si>
    <t>1. S150001
2. Klik tombol "add task"</t>
  </si>
  <si>
    <t>Berhasil menampilkan halaman tambah data add task</t>
  </si>
  <si>
    <t>S150003</t>
  </si>
  <si>
    <t>Menambah data task dimana semua data di isi</t>
  </si>
  <si>
    <t>1. S150002
2. Data task</t>
  </si>
  <si>
    <t>1. S150002
2. Pilih project list
3. Pilih assign to
4. Masukkan collaborators
5. Masukkan task tittle
6. Masukkan task start date
7. Masukkan task end date
8. Masukkan details
9. Pilih lalu click status
10. Click type
11. Click tombol "submit"</t>
  </si>
  <si>
    <t>1. Data task
    a. Project list : Project X23
    b. Project date : Jan 4, 2022 - Feb 2, 2022
    c. Assign to : Employee dua
    d. Collaborators : employee empat, employee lima
    e. Task title : Maintenance Software
     f. Task start date : 2022-04-04
    g. Task end date : 2022-04-09
    h. Details : Updating hardware
     i. Status : Running
     j. Type : Office</t>
  </si>
  <si>
    <t>Berhasil menambahkan data task</t>
  </si>
  <si>
    <t>S150004</t>
  </si>
  <si>
    <t>1. Data task
    a. Project list : Project X23
    b. Project date : Jan 4, 2022 - Feb 2, 2022
    c. Assign to : 
    d. Collaborators : 
    e. Task title : Bengkel Komputer4
     f. Task start date : 2022-04-11
    g. Task end date : 2022-04-14
    h. Details : Updating hardware
     i. Status : Running
     j. Type : Office</t>
  </si>
  <si>
    <t>1. S150002
2. Pilih project list
3. Masukkan task tittle
4. Masukkan task start date
5. Masukkan task end date
6. Masukkan details
7. Pilih lalu click status
8. Click type
9. Click tombol "submit"</t>
  </si>
  <si>
    <t>Muncul notifikasi A PHP error 
was encountered</t>
  </si>
  <si>
    <t>Menambah data task dimana semua data di isi kecuali kolom assign to dan collaborators</t>
  </si>
  <si>
    <t>S150005</t>
  </si>
  <si>
    <t>Menambah data task dimana semua data di isi kecuali kolom task start date dan task end date</t>
  </si>
  <si>
    <t>1. Data task
    a. Project list : Project X23
    b. Project date : Jan 4, 2022 - Feb 2, 2022
    c. Assign to : Employee dua
    d. Collaborators : Employee empat
    e. Task title : Update driver
     f. Task start date : 
    g. Task end date : 
    h. Details : Updating hardware
     i. Status : Running
     j. Type : Office</t>
  </si>
  <si>
    <t>1. S150002
2. Pilih project list
3. Pilih assign to
4. Masukkan collaborators
5. Masukkan task tittle
6. Masukkan details
7. Pilih lalu click status
8. Click type
9. Click tombol "submit"</t>
  </si>
  <si>
    <t>S150006</t>
  </si>
  <si>
    <t xml:space="preserve">Menambah data task dimana semua data diisi dan untuk data project list dirubah </t>
  </si>
  <si>
    <t>1. Data task
    a. Project list : Real Estate Site
    b. Project date : Dec 29, 2021 - Mar 21, 2022
    c. Assign to : Employee Lima
    d. Collaborators : Employee Enam
    e. Task title : Update Software 2022
     f. Task start date : 2022-04-14
    g. Task end date : 2022-04-16
    h. Details : Updating Software
     i. Status : Complete
     j. Type : Office</t>
  </si>
  <si>
    <t>Data project list yang tersimpan 
tidak berubah sesuai dengan input value, 
dan untuk project date berubah mengikuti data project list yang dipilih</t>
  </si>
  <si>
    <t>S150007</t>
  </si>
  <si>
    <t xml:space="preserve">Menambah data task dimana semua data diisi dan untuk kolom task start date lebih besar dari task end date </t>
  </si>
  <si>
    <t>1. Data task
    a. Project list : Project X23
    b. Project date : Jan 4, 2022 - Feb 2, 2022
    c. Assign to : Employee dua
    d. Collaborators : Employee empat
    e. Task title : Update Software New
     f. Task start date : 2022-04-30
    g. Task end date : 2022-04-01
    h. Details : Updating Software
     i. Status : Running
     j. Type : Office</t>
  </si>
  <si>
    <t>Gagal menambahkan data task</t>
  </si>
  <si>
    <t>untuk kolom task start date diberikan 
validasi tidak bisa lebih besar dari kolom end date</t>
  </si>
  <si>
    <t>S150008</t>
  </si>
  <si>
    <t>Menambah data task dimana semua data diisi dan untuk kolom assign to dan collaborators diisikan inputan yang sama</t>
  </si>
  <si>
    <t>1. Data task
    a. Project list : Project X23
    b. Project date : Jan 4, 2022 - Feb 2, 2022
    c. Assign to : Super Admin
    d. Collaborators : Super Admin
    e. Task title : Update Hardware Terbaru
     f. Task start date : 2022-04-12
    g. Task end date : 2022-04-13
    h. Details : Update Hardware
     i. Status : Running
     j. Type : Office</t>
  </si>
  <si>
    <t>untuk kolom assign to dan collaborators diberikan validasi 
data yang sudah dipilih di kolom assign to tidak bisa dipilih kembali di kolom collaborators</t>
  </si>
  <si>
    <t>S150009</t>
  </si>
  <si>
    <t>Klik tombol "field visit" untuk mengakses halaman field visit</t>
  </si>
  <si>
    <t>1. S150001</t>
  </si>
  <si>
    <t>Berhasil akses halaman field visit</t>
  </si>
  <si>
    <t>Gagal akses halaman field visit</t>
  </si>
  <si>
    <t>Klik tombol "project list" untuk mengakses halaman project list</t>
  </si>
  <si>
    <t>1. S150001
2. Klik tombol "project list"</t>
  </si>
  <si>
    <t>Berhasil akses halaman project list</t>
  </si>
  <si>
    <t>Gagal akses halaman project list</t>
  </si>
  <si>
    <t>S150010</t>
  </si>
  <si>
    <t>1. S150001
2. Klik tombol "field visit"</t>
  </si>
  <si>
    <t>Untuk tombol "field visit" salah dalam memberikan
hyperlink untuk kehalaman field visit</t>
  </si>
  <si>
    <t>Untuk tombol "project list" salah dalam memberikan
hyperlink untuk kehalaman project list</t>
  </si>
  <si>
    <t>S150011</t>
  </si>
  <si>
    <t>Menambah data task dimana semua data diisi dan untuk kolom task title disi kurang dari 8 karakter</t>
  </si>
  <si>
    <t>1. Data task
    a. Project list : Project X23
    b. Project date : Jan 4, 2022 - Feb 2, 2022
    c. Assign to : Super Admin
    d. Collaborators : Super Admin
    e. Task title : Update
     f. Task start date : 2022-04-12
    g. Task end date : 2022-04-13
    h. Details : Update Hardware
     i. Status : Running
     j. Type : Office</t>
  </si>
  <si>
    <t>Gagal menambahkan data task dan muncul text Please enter at least 8 characters dibawah kolom task title</t>
  </si>
  <si>
    <t>S150012</t>
  </si>
  <si>
    <t>Menambah data task dimana semua data diisi dan untuk kolom details diisi kurang dari 10 karakter</t>
  </si>
  <si>
    <t>1. Data task
    a. Project list : Project X23
    b. Project date : Jan 4, 2022 - Feb 2, 2022
    c. Assign to : Super Admin
    d. Collaborators : Super Admin
    e. Task title : Update Hardware Terbaru
     f. Task start date : 2022-04-12
    g. Task end date : 2022-04-13
    h. Details : Update
     i. Status : Running
     j. Type : Office</t>
  </si>
  <si>
    <t xml:space="preserve">Gagal menambahkan data task </t>
  </si>
  <si>
    <t>Gagal menambahkan data task dan muncul text Please enter at least 10 characters dibawah kolom details</t>
  </si>
  <si>
    <t>S150013</t>
  </si>
  <si>
    <t>Mencopy data task dengan klik tombol "copy"</t>
  </si>
  <si>
    <t>1. S150001
2. Klik tombol "copy"</t>
  </si>
  <si>
    <t>Berhasil mencopy data task</t>
  </si>
  <si>
    <t>S150014</t>
  </si>
  <si>
    <t>1. S150001
2. Klik tombol "CSV"</t>
  </si>
  <si>
    <t>Berhasil mendownload data task dengan tipe file csv</t>
  </si>
  <si>
    <t>S150015</t>
  </si>
  <si>
    <t>Mendownload data task dengan tipe file CSV melalui klik tombol "CSV"</t>
  </si>
  <si>
    <t>Mendownload data task dengan tipe file xlsx melalui klik tombol "Excel"</t>
  </si>
  <si>
    <t>1. S150001
2. Klik tombol "Excel"</t>
  </si>
  <si>
    <t>Berhasil mendownload data task dengan tipe file xlsx</t>
  </si>
  <si>
    <t>S150016</t>
  </si>
  <si>
    <t>Mendownload data task dengan tipe file pdf melalui klik tombol "PDF"</t>
  </si>
  <si>
    <t>Berhasil mendownload data task dengan tipe file pdf</t>
  </si>
  <si>
    <t>1. S150001
2. Klik tombol "PDF"
3. Klik icon folder di kanan atas</t>
  </si>
  <si>
    <t>S150017</t>
  </si>
  <si>
    <t>Mencetak data task melalui klik tombol "Print"</t>
  </si>
  <si>
    <t>1. S150001
2. Klik tombol "Print"
3. Klik icon cetak</t>
  </si>
  <si>
    <t>Berhasil mencetak data task</t>
  </si>
  <si>
    <t>Melakukan pencarian data logistic support list dengan filter search menggunakan keyword invalid</t>
  </si>
  <si>
    <t>1. S150001
2. Masukkan keyword pencarian di dalam kolom filter search</t>
  </si>
  <si>
    <t>S150018</t>
  </si>
  <si>
    <t>Melakukan pencarian data task dengan filter search, keyword valid</t>
  </si>
  <si>
    <t>Melakukan pencarian data logistic support list dengan filter search, keyword valid</t>
  </si>
  <si>
    <t>1. Keyword : Bengkel</t>
  </si>
  <si>
    <t>S150019</t>
  </si>
  <si>
    <t>Melakukan pencarian data task dengan filter search, keyword invalid</t>
  </si>
  <si>
    <t>1. Keyword : !@#$%</t>
  </si>
  <si>
    <t>S150020</t>
  </si>
  <si>
    <t>Melakukan sorting ascending untuk kolom project title</t>
  </si>
  <si>
    <t>S150021</t>
  </si>
  <si>
    <t>Melakukan sorting descending untuk kolom project title</t>
  </si>
  <si>
    <t>S150022</t>
  </si>
  <si>
    <t>Melakukan sorting ascending untuk kolom task title</t>
  </si>
  <si>
    <t>S150023</t>
  </si>
  <si>
    <t>Melakukan sorting descending untuk kolom task title</t>
  </si>
  <si>
    <t>S150024</t>
  </si>
  <si>
    <t>Melakukan sorting ascending untuk kolom start date</t>
  </si>
  <si>
    <t>S150025</t>
  </si>
  <si>
    <t>Melakukan sorting descending untuk kolom start date</t>
  </si>
  <si>
    <t>S150026</t>
  </si>
  <si>
    <t>S150027</t>
  </si>
  <si>
    <t>Gagal sorting berdasarkan ascending</t>
  </si>
  <si>
    <t>Gagal sorting berdasarkan descending</t>
  </si>
  <si>
    <t>Sorting gagal</t>
  </si>
  <si>
    <t>S150028</t>
  </si>
  <si>
    <t>Melakukan sorting ascending untuk kolom assigned employee</t>
  </si>
  <si>
    <t>S150029</t>
  </si>
  <si>
    <t>Melakukan sorting descending untuk kolom assigned employee</t>
  </si>
  <si>
    <t>S150030</t>
  </si>
  <si>
    <t>Mengarahkan kursor ke icon gambar employee untuk memunculkan icon tooltip</t>
  </si>
  <si>
    <t>1. S150001
2. Double klik icon segitiga pada kolom assigned employee</t>
  </si>
  <si>
    <t>1. S150001
2. Klik icon segitiga pada kolom assigned employee</t>
  </si>
  <si>
    <t>1. S150001
2. Double klik icon segitiga pada kolom end date</t>
  </si>
  <si>
    <t>1. S150001
2. Klik icon segitiga pada kolom end date</t>
  </si>
  <si>
    <t>1. S150001
2. Double klik icon segitiga pada kolom start date</t>
  </si>
  <si>
    <t>1. S150001
2. Klik icon segitiga pada kolom start date</t>
  </si>
  <si>
    <t>1. S150001
2. Double klik icon segitiga pada kolom task title</t>
  </si>
  <si>
    <t>1. S150001
2. Klik icon segitiga pada kolom task title</t>
  </si>
  <si>
    <t>1. S150001
2. Double klik icon segitiga pada kolom project title</t>
  </si>
  <si>
    <t>1. S150001
2. Klik icon segitiga pada kolom project title</t>
  </si>
  <si>
    <t>1. S150001
2. Mengarahkan kursor ke icon gambar employee</t>
  </si>
  <si>
    <t>Berhasil menampilkan icon tooltip untuk setiap gambar</t>
  </si>
  <si>
    <t>Hanya berhasil pada halaman pagination 1</t>
  </si>
  <si>
    <t>Hanya berhasil pada halaman pagination 1 untuk seterusnya tidak muncul icon tooltip</t>
  </si>
  <si>
    <t>S150031</t>
  </si>
  <si>
    <t>1. S150001
2. Klik tombol "next"</t>
  </si>
  <si>
    <t>Berhasil menampilkan data selanjutnya dan menampilkan data 11 sampai 20 dari 181 total data</t>
  </si>
  <si>
    <t>S150032</t>
  </si>
  <si>
    <t>1. S150001
2. Klik tombol "previous"</t>
  </si>
  <si>
    <t>Berhasil menampilkan data selanjutnya dan menampilkan data 1 sampai 10 dari 181 total data</t>
  </si>
  <si>
    <t>1. S150001
2. Klik tombol "2"</t>
  </si>
  <si>
    <t>S150033</t>
  </si>
  <si>
    <t>Klik tombol "Assets List" untuk mengakses halaman assets list</t>
  </si>
  <si>
    <t>1. S140001
2. Klik tombol "Assets List"</t>
  </si>
  <si>
    <t>Berhasil akses halaman assets list</t>
  </si>
  <si>
    <t>Gagal akses halaman assets list</t>
  </si>
  <si>
    <t>Untuk tombol assets list link belum 
ada tujuan ke halaman assets list dan menampilkan 404 page not found</t>
  </si>
  <si>
    <t>Berhasil merubah data, tetapi data tidak tersimpan</t>
  </si>
  <si>
    <t>Gagal merubah data bank account</t>
  </si>
  <si>
    <t>Merubah data bank account dimas pratama dimana semua kolom diisi</t>
  </si>
  <si>
    <t>Akses halaman employees</t>
  </si>
  <si>
    <t xml:space="preserve">1. S110001
2. Pilih employees dibagian sidebar
3. Klik employees
</t>
  </si>
  <si>
    <t>Berhasil masuk ke halaman employees</t>
  </si>
  <si>
    <t>1. S120001
2. Klik icon edit
3. Klik tab bank account
4. Masukkan bank holder name
5. Masukkan bank name
6. Masukkan branch name
7. Masukkan bank account number
8. Masukkan bank account type
9. Klik tombol  "save"</t>
  </si>
  <si>
    <t>1. S120001
2. Klik icon edit
3. Klik tab bank account
3. Masukkan bank holder name
4. Masukkan bank name
5. Masukkan branch name
6. Masukkan bank account number
7. Klik tombol  "save"</t>
  </si>
  <si>
    <t>1. S120001
2. Klik icon edit
3. Klik tab bank account
4. Masukkan bank holder name
5. Masukkan bank name
6. Masukkan bank account number
7. Masukkan bank account type
8. Klik tombol  "save"</t>
  </si>
  <si>
    <t>1. S120001
2. Klik icon edit
3. Klik tab bank account
4. Masukkan bank holder name
5. Masukkan bank name
6. Masukkan bank account number
7. Klik tombol  "save"</t>
  </si>
  <si>
    <t>1. S120001
2. Klik icon edit
3. Klik tab bank account
4. Masukkan bank name
5. Masukkan branch name
6. Masukkan bank account number
7. Masukkan bank account type
8. Klik tombol  "save"</t>
  </si>
  <si>
    <t>1. S120001
2. Klik icon edit
3. Klik tab bank account
4. Masukkan bank holder name
5. Masukkan branch name
6. Masukkan bank account number
7. Masukkan bank account type
8. Klik tombol  "save"</t>
  </si>
  <si>
    <t>1. S120001
2. Klik icon edit
3. Klik tab bank account
4. Masukkan bank holder name
5. Masukkan bank name
6. Masukkan branch name
7. Masukkan bank account type
8. Klik tombol  "save"</t>
  </si>
  <si>
    <t>1. S120001
2. Klik icon edit
3. Klik tab bank account
3. Masukkan branch name
4. Masukkan bank account number
5. Masukkan bank account type
6. Klik tombol  "save"</t>
  </si>
  <si>
    <t>1. S120001
2. Klik icon edit
3. Klik tab bank account
4. Masukkan bank name
5. Masukkan branch name
6. Masukkan bank account type
7. Klik tombol  "save"</t>
  </si>
  <si>
    <t>1. S120001
2. Klik icon edit
3. Klik tab bank account
4. Masukkan bank holder name
5. Masukkan branch name
6. Masukkan bank account type
7. Klik tombol  "save"</t>
  </si>
  <si>
    <t>1. S120001
2. Klik icon edit
3. Klik tab bank account
4. Klik tombol  "save"</t>
  </si>
  <si>
    <t>Muncul sidebar ketika di save 
data yang telah dirubah</t>
  </si>
  <si>
    <t>Merubah data bank account aliva martatia dimana semua kolom diisi dan untuk kolom bank holder name, bank name, bank account number diisi gabungan antara huruf dan angka</t>
  </si>
  <si>
    <t>1. Data bank account
    a. Bank holder name : Aliva12345
    b. Bank name : Bank12345
    c. Branch name : KCU Blok M
    d. Bank account number : 12345rekekning
    e. Bank account type : Konvensional</t>
  </si>
  <si>
    <t>S120022</t>
  </si>
  <si>
    <t>Merubah data bank account employee lima dimana hanya kolom bank holder name yang diisi</t>
  </si>
  <si>
    <t xml:space="preserve">1. Data bank account
    a. Bank holder name : employee lima
    b. Bank name : 
    c. Branch name : 
    d. Bank account number : 
    e. Bank account type : </t>
  </si>
  <si>
    <t>1. S120001
2. Klik icon edit
3. Klik tab bank account
4. Masukkan bank holder name
5. Klik tombol  "save"</t>
  </si>
  <si>
    <t>S120023</t>
  </si>
  <si>
    <t>Merubah data bank account employee lima dimana hanya kolom bank name yang diisi</t>
  </si>
  <si>
    <t xml:space="preserve">1. Data bank account
    a. Bank holder name :
    b. Bank name : Bank Nasional Indonesia
    c. Branch name : 
    d. Bank account number : 
    e. Bank account type : </t>
  </si>
  <si>
    <t>1. S120001
2. Klik icon edit
3. Klik tab bank account
4. Masukkan bank name
5. Klik tombol  "save"</t>
  </si>
  <si>
    <t>S120025</t>
  </si>
  <si>
    <t>Merubah data bank account employee lima dimana hanya kolom bank account number yang diisi</t>
  </si>
  <si>
    <t xml:space="preserve">1. Data bank account
    a. Bank holder name :
    b. Bank name : 
    c. Branch name : 
    d. Bank account number : 1234567890 
    e. Bank account type : </t>
  </si>
  <si>
    <t>1. S120001
2. Klik icon edit
3. Klik tab bank account
4. Masukkan bank account number
5. Klik tombol  "save"</t>
  </si>
  <si>
    <t>S120024</t>
  </si>
  <si>
    <t>Merubah data bank account employee lima dimana hanya kolom bank branch name dan bank account type yang diisi</t>
  </si>
  <si>
    <t>1. Data bank account
    a. Bank holder name :
    b. Bank name : 
    c. Branch name : KCU Blok M
    d. Bank account number :  
    e. Bank account type : Konvensional</t>
  </si>
  <si>
    <t>1. S120001
2. Klik icon edit
3. Klik tab bank account
4. Masukkan branch name
5. Masukkan bank account type
6. Klik tombol  "save"</t>
  </si>
  <si>
    <t>Merubah data social media kurnia mega dimana hanya kolom facebook diisi dan diisi dengan angka</t>
  </si>
  <si>
    <t>1. Data social media
    a. Facebook : 123</t>
  </si>
  <si>
    <t>Merubah data social media kurnia mega dimana hanya kolom twitter yang diisi dan diisi dengan nomor</t>
  </si>
  <si>
    <t>Merubah data social media kurnia mega dimana hanya kolom google + yang diisi dan diisi dengan nomor</t>
  </si>
  <si>
    <t>Merubah data social media kurnia mega dimana hanya kolom skype yang diisi dan diisi dengan nomor</t>
  </si>
  <si>
    <t>S130014</t>
  </si>
  <si>
    <t>Merubah data social media kurnia mega dimana hanya kolom facebook yang diisi dan diisi dengan spesial karakter</t>
  </si>
  <si>
    <t>Gagal merubah data social media</t>
  </si>
  <si>
    <t xml:space="preserve">1. Data social media
    a. Facebook : www.facebook.com(default)
    b. Twitter : 
    c. Google + : 
    d. Skype : </t>
  </si>
  <si>
    <t>1. Data social media
    a. Facebook : !@#</t>
  </si>
  <si>
    <t>S130015</t>
  </si>
  <si>
    <t>Merubah data social media kurnia mega dimana hanya kolom twitter yang diisi dan diisi dengan spesial karakter</t>
  </si>
  <si>
    <t>1. Data social media
    a. Facebook : www.facebook.com(default)
    a. Twitter : !@#</t>
  </si>
  <si>
    <t>1. Data social media
    a. facebook : www.facebook.com(default)
    b. Twitter : 123</t>
  </si>
  <si>
    <t>1. Data social media
    a. facebook : www.facebook.com(default)    
    b. google + : 123</t>
  </si>
  <si>
    <t>1. Data social media
    a. facebook : www.facebook.com(default)    
    b. skype : 123</t>
  </si>
  <si>
    <t>1. Data social media
    a. facebook : www.facebook.com(default)
    b. Twitter : twitter</t>
  </si>
  <si>
    <t>1. Data social media
    a. facebook : www.facebook.com(default)    
    b. google + : google</t>
  </si>
  <si>
    <t>1. Data social media
    a. facebook : www.facebook.com(default)    
    b. skype : skype</t>
  </si>
  <si>
    <t>berhasil karena 
a. kolom twitter mempunyai 
nilai default www.twitter.com, 
dan untuk kolom skype diberikan validasi mengenai format input url</t>
  </si>
  <si>
    <t>berhasil karena 
a. kolom google + mempunyai 
nilai default www.google.com, 
dan untuk kolom skype diberikan validasi mengenai format input url</t>
  </si>
  <si>
    <t>berhasil karena 
a. kolom skype mempunyai 
nilai default www.skype.com, 
dan untuk kolom skype diberikan validasi mengenai format input url</t>
  </si>
  <si>
    <t>berhasil karena 
a. kolom facebook mempunyai 
nilai default www.facebook.com, 
dan untuk kolom skype diberikan validasi mengenai format input url</t>
  </si>
  <si>
    <t>berhasil karena 
a. kolom facebook mempunyai 
nilai default www.facebook.com, 
dan untuk kolom google + diberikan validasi mengenai format input url</t>
  </si>
  <si>
    <t>berhasil karena 
a. kolom facebook mempunyai 
nilai default www.facebook.com, 
dan untuk kolom twitter diberikan validasi mengenai format input url</t>
  </si>
  <si>
    <t>S130016</t>
  </si>
  <si>
    <t>Merubah data social media kurnia mega dimana hanya kolom google + yang diisi dan diisi dengan spesial karakter</t>
  </si>
  <si>
    <t>1. Data social media
    a. facebook : www.facebook.com(default)    
    b. google + : !@#</t>
  </si>
  <si>
    <t>S130017</t>
  </si>
  <si>
    <t>Merubah data social media kurnia mega dimana hanya kolom skype yang diisi dan diisi dengan spesial karakter</t>
  </si>
  <si>
    <t>1. Data social media
    a. facebook : www.facebook.com(default)    
    b. skype : !@#</t>
  </si>
  <si>
    <t>berhasil karena 
a. kolom skype mempunyai 
nilai default www.google.com, 
dan untuk kolom skype diberikan validasi mengenai format input url</t>
  </si>
  <si>
    <t>1. S110001
2. Pilih employees dibagian sidebar
3. Klik employees</t>
  </si>
  <si>
    <t>1. S130001
2. Klik icon edit
3. Klik tab "social media"
2. Masukkan facebook
3. Masukkan twitter
4. Masukkan google + 
5. Masukkan skype
6. Klik tombol  "save"</t>
  </si>
  <si>
    <t>1. S130001
2. Klik icon edit
3. Klik tab "social media"
4. Masukkan facebook
5. Klik tombol  "save"</t>
  </si>
  <si>
    <t>1. S130001
2. Klik icon edit
3. Klik tab "social media"
4. Masukkan twitter
5. Klik tombol  "save"</t>
  </si>
  <si>
    <t>1. S130001
2. Klik icon edit
3. Klik tab "social media"
4. Masukkan google + 
5. Klik tombol  "save"</t>
  </si>
  <si>
    <t>1. S130001
2. Klik icon edit
3. Klik tab "social media"
4. Masukkan skype
5. Klik tombol  "save"</t>
  </si>
  <si>
    <t>1. S130001
2. Klik icon edit
3. Klik tab "social media"
4. Masukkan facebook
5. Masukkan twitter
6. Masukkan google + 
7. Masukkan skype
8. Klik tombol  "save"</t>
  </si>
  <si>
    <t>1. S130001
2. Klik icon edit
3. Klik tab "social media"
4. Klik tombol  "save"</t>
  </si>
  <si>
    <t>1. S130001
2. Klik icon edit
3. Klik tab "social media"
4. Masukkan skype 
5. Klik tombol  "save"</t>
  </si>
  <si>
    <t>Merubah data social media dimas pratama dimana semua data diisi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</si>
</sst>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7">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s>
  <cellStyleXfs count="4">
    <xf numFmtId="0" fontId="0" fillId="0" borderId="0"/>
    <xf numFmtId="0" fontId="1" fillId="0" borderId="0" applyNumberFormat="0" applyFill="0" applyBorder="0" applyAlignment="0" applyProtection="0"/>
    <xf numFmtId="0" fontId="4" fillId="0" borderId="6" applyNumberFormat="0" applyFill="0" applyAlignment="0" applyProtection="0"/>
    <xf numFmtId="0" fontId="5" fillId="0" borderId="7" applyNumberFormat="0" applyFill="0" applyAlignment="0" applyProtection="0"/>
  </cellStyleXfs>
  <cellXfs count="45">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0" fontId="15" fillId="0" borderId="6" xfId="2" applyFont="1" applyAlignment="1">
      <alignment horizontal="center" vertical="center"/>
    </xf>
    <xf numFmtId="0" fontId="15" fillId="0" borderId="6" xfId="2" applyFont="1" applyFill="1" applyAlignment="1">
      <alignment horizontal="center" vertical="center"/>
    </xf>
    <xf numFmtId="0" fontId="6" fillId="0" borderId="0" xfId="0" applyFont="1" applyAlignment="1">
      <alignment horizontal="center" vertical="center"/>
    </xf>
    <xf numFmtId="0" fontId="15" fillId="0" borderId="6"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8" xfId="0" applyFont="1" applyFill="1" applyBorder="1" applyAlignment="1">
      <alignment horizontal="center" vertical="center"/>
    </xf>
    <xf numFmtId="0" fontId="6" fillId="0" borderId="8" xfId="0" applyFont="1" applyBorder="1"/>
    <xf numFmtId="0" fontId="8" fillId="0" borderId="8" xfId="0" applyFont="1" applyBorder="1"/>
    <xf numFmtId="0" fontId="7" fillId="6" borderId="1" xfId="3" applyFont="1" applyFill="1" applyBorder="1" applyAlignment="1">
      <alignment horizontal="left" vertical="top"/>
    </xf>
    <xf numFmtId="0" fontId="7" fillId="6" borderId="1" xfId="3" applyFont="1" applyFill="1" applyBorder="1" applyAlignment="1">
      <alignment horizontal="left" vertical="top" wrapText="1"/>
    </xf>
    <xf numFmtId="164" fontId="7" fillId="6" borderId="1" xfId="3" applyNumberFormat="1" applyFont="1" applyFill="1" applyBorder="1" applyAlignment="1">
      <alignment horizontal="left" vertical="top"/>
    </xf>
    <xf numFmtId="166" fontId="7" fillId="6" borderId="4" xfId="3" applyNumberFormat="1" applyFont="1" applyFill="1" applyBorder="1" applyAlignment="1">
      <alignment horizontal="left" vertical="top"/>
    </xf>
    <xf numFmtId="22" fontId="7" fillId="6" borderId="1" xfId="3" applyNumberFormat="1" applyFont="1" applyFill="1" applyBorder="1" applyAlignment="1">
      <alignment horizontal="left" vertical="top"/>
    </xf>
    <xf numFmtId="0" fontId="7" fillId="6" borderId="5" xfId="3" applyFont="1" applyFill="1" applyBorder="1" applyAlignment="1">
      <alignment horizontal="left" vertical="top"/>
    </xf>
    <xf numFmtId="0" fontId="7" fillId="2" borderId="1" xfId="3" applyFont="1" applyFill="1" applyBorder="1" applyAlignment="1">
      <alignment horizontal="left" vertical="top" wrapText="1"/>
    </xf>
    <xf numFmtId="164" fontId="7" fillId="6" borderId="1" xfId="3" applyNumberFormat="1" applyFont="1" applyFill="1" applyBorder="1" applyAlignment="1">
      <alignment horizontal="left" vertical="top" wrapText="1"/>
    </xf>
    <xf numFmtId="166" fontId="7" fillId="6" borderId="1" xfId="3" applyNumberFormat="1" applyFont="1" applyFill="1" applyBorder="1" applyAlignment="1">
      <alignment horizontal="left" vertical="top"/>
    </xf>
    <xf numFmtId="0" fontId="9" fillId="0" borderId="0" xfId="0" applyFont="1" applyFill="1" applyAlignment="1">
      <alignment horizontal="left" vertical="center"/>
    </xf>
  </cellXfs>
  <cellStyles count="4">
    <cellStyle name="Heading 2" xfId="2" builtinId="17"/>
    <cellStyle name="Heading 3" xfId="3" builtinId="18"/>
    <cellStyle name="Hyperlink" xfId="1" builtinId="8"/>
    <cellStyle name="Normal" xfId="0" builtinId="0"/>
  </cellStyles>
  <dxfs count="49">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fill>
        <patternFill patternType="solid">
          <fgColor indexed="64"/>
          <bgColor theme="1"/>
        </patternFill>
      </fill>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74</c:v>
                </c:pt>
                <c:pt idx="1">
                  <c:v>52</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94</c:v>
                </c:pt>
                <c:pt idx="1">
                  <c:v>32</c:v>
                </c:pt>
                <c:pt idx="2">
                  <c:v>0</c:v>
                </c:pt>
                <c:pt idx="3">
                  <c:v>1</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Dashboard!$B$34:$B$38</c:f>
              <c:strCache>
                <c:ptCount val="5"/>
                <c:pt idx="0">
                  <c:v>1.1. Dashboard</c:v>
                </c:pt>
                <c:pt idx="1">
                  <c:v>1.2. Employees - Edit Employees - Bank Account</c:v>
                </c:pt>
                <c:pt idx="2">
                  <c:v>1.3. Employees - Edit Employees - Social Media</c:v>
                </c:pt>
                <c:pt idx="3">
                  <c:v>1.4. Assets - Logistic Support</c:v>
                </c:pt>
                <c:pt idx="4">
                  <c:v>1.5. Project - List/Add Task</c:v>
                </c:pt>
              </c:strCache>
            </c:strRef>
          </c:cat>
          <c:val>
            <c:numRef>
              <c:f>Dashboard!$C$34:$C$38</c:f>
              <c:numCache>
                <c:formatCode>General</c:formatCode>
                <c:ptCount val="5"/>
                <c:pt idx="0">
                  <c:v>1</c:v>
                </c:pt>
                <c:pt idx="1">
                  <c:v>26</c:v>
                </c:pt>
                <c:pt idx="2">
                  <c:v>17</c:v>
                </c:pt>
                <c:pt idx="3">
                  <c:v>49</c:v>
                </c:pt>
                <c:pt idx="4">
                  <c:v>33</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1</c:v>
                </c:pt>
                <c:pt idx="2">
                  <c:v>67</c:v>
                </c:pt>
                <c:pt idx="3">
                  <c:v>58</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4</xdr:col>
      <xdr:colOff>317500</xdr:colOff>
      <xdr:row>4</xdr:row>
      <xdr:rowOff>127000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90619" y="63500"/>
          <a:ext cx="4671987" cy="81653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a:t>
          </a:r>
          <a:r>
            <a:rPr lang="en-US" sz="1100" b="1" i="0" u="none" baseline="0">
              <a:solidFill>
                <a:schemeClr val="bg2">
                  <a:lumMod val="25000"/>
                </a:schemeClr>
              </a:solidFill>
              <a:latin typeface="Arial" panose="020B0604020202020204" pitchFamily="34" charset="0"/>
              <a:cs typeface="Arial" panose="020B0604020202020204" pitchFamily="34" charset="0"/>
            </a:rPr>
            <a:t>WEB HR 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http://202.159.35.218:9090/hrsystem/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11 April 2022</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April 2022</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8" dataDxfId="47" headerRowCellStyle="Heading 2">
  <autoFilter ref="H33:I37" xr:uid="{39B49D68-9E8A-D34A-B9C6-E6ABF7ECF4E2}"/>
  <tableColumns count="2">
    <tableColumn id="1" xr3:uid="{567DBF3E-6AAB-F44B-A620-2B81C9A6B114}" name="STATUS" dataDxfId="46"/>
    <tableColumn id="2" xr3:uid="{00650F91-5404-F04C-9013-56844C846874}" name="TOTAL" dataDxfId="45">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4" dataDxfId="42" headerRowBorderDxfId="43" headerRowCellStyle="Heading 2">
  <autoFilter ref="N33:O40" xr:uid="{E7F708E7-6029-1341-8251-DF3DDDFF7B00}"/>
  <tableColumns count="2">
    <tableColumn id="1" xr3:uid="{440FA0DB-848F-9F48-9EDE-A92BB70EB242}" name="PIC" dataDxfId="41"/>
    <tableColumn id="2" xr3:uid="{BCFB4232-A96D-B74B-ADE9-74DE4F804D8D}" name="TOTAL" dataDxfId="40">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9" dataDxfId="38" headerRowCellStyle="Heading 2">
  <autoFilter ref="K33:L37" xr:uid="{7A78BE29-BD42-E94C-B75E-07BC3539C64B}"/>
  <tableColumns count="2">
    <tableColumn id="1" xr3:uid="{3FBAF980-B046-1744-A68E-80FA60193677}" name="PRIORITY " dataDxfId="37"/>
    <tableColumn id="2" xr3:uid="{20CF8267-20CB-2447-B0EE-04CA0FFEC084}" name="TOTAL" dataDxfId="36">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5" dataDxfId="34" headerRowCellStyle="Heading 2">
  <autoFilter ref="E33:F35" xr:uid="{12B34AFC-8443-7646-A5FF-38B643D476A1}"/>
  <tableColumns count="2">
    <tableColumn id="1" xr3:uid="{E4B2D535-AD93-2241-822E-9CF430ABB581}" name="TYPE TEST" dataDxfId="33"/>
    <tableColumn id="2" xr3:uid="{B2FCB4DD-51A8-1548-8514-2F1B2803A7E8}" name="TOTAL" dataDxfId="32">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8" totalsRowShown="0" headerRowDxfId="31" dataDxfId="30" headerRowCellStyle="Heading 2">
  <autoFilter ref="B33:C38" xr:uid="{6C7EEE0D-7F76-2040-BCB4-250854C8F0F0}"/>
  <tableColumns count="2">
    <tableColumn id="2" xr3:uid="{715B60B1-67E3-3D45-A8B0-02B0A787B3D7}" name="PAGE" dataDxfId="29"/>
    <tableColumn id="3" xr3:uid="{A956E912-A71F-0145-AD97-1B193CC99877}" name="TOTAL" dataDxfId="28">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S136" totalsRowShown="0" headerRowDxfId="23" dataDxfId="21" headerRowBorderDxfId="22" tableBorderDxfId="20" totalsRowBorderDxfId="19" headerRowCellStyle="Heading 3">
  <autoFilter ref="A9:S136" xr:uid="{00000000-000C-0000-FFFF-FFFF00000000}">
    <filterColumn colId="1">
      <filters>
        <filter val="1.3. Employees - Edit Employees - Social Media"/>
      </filters>
    </filterColumn>
  </autoFilter>
  <tableColumns count="19">
    <tableColumn id="1" xr3:uid="{00000000-0010-0000-0000-000001000000}" name="NO." dataDxfId="18"/>
    <tableColumn id="2" xr3:uid="{00000000-0010-0000-0000-000002000000}" name="FUNGTION" dataDxfId="17"/>
    <tableColumn id="3" xr3:uid="{00000000-0010-0000-0000-000003000000}" name="SCENARIO_x000a_ID" dataDxfId="16"/>
    <tableColumn id="17" xr3:uid="{00000000-0010-0000-0000-000011000000}" name="TEST TYPE" dataDxfId="15"/>
    <tableColumn id="22" xr3:uid="{00000000-0010-0000-0000-000016000000}" name="STATUS" dataDxfId="14"/>
    <tableColumn id="6" xr3:uid="{00000000-0010-0000-0000-000006000000}" name=" " dataDxfId="13"/>
    <tableColumn id="19" xr3:uid="{00000000-0010-0000-0000-000013000000}" name="DESCRIPTION" dataDxfId="12"/>
    <tableColumn id="18" xr3:uid="{00000000-0010-0000-0000-000012000000}" name="PREREQUISITES" dataDxfId="11"/>
    <tableColumn id="11" xr3:uid="{78988167-E381-4390-BAD6-65B22599A3D8}" name="INPUT VALUE" dataDxfId="10"/>
    <tableColumn id="7" xr3:uid="{00000000-0010-0000-0000-000007000000}" name="TEST STEPS" dataDxfId="9"/>
    <tableColumn id="8" xr3:uid="{00000000-0010-0000-0000-000008000000}" name="EXPECTED RESULT" dataDxfId="8"/>
    <tableColumn id="9" xr3:uid="{00000000-0010-0000-0000-000009000000}" name="ACTUAL RESULT" dataDxfId="7"/>
    <tableColumn id="16" xr3:uid="{00000000-0010-0000-0000-000010000000}" name="NOTES" dataDxfId="6"/>
    <tableColumn id="5" xr3:uid="{AF37849C-47CF-1D42-9803-BA046E03AA35}" name="PRIORITY" dataDxfId="5"/>
    <tableColumn id="4" xr3:uid="{7D50DCE3-CDE0-D540-AD1E-7BD0F9C19C2B}" name="PIC" dataDxfId="4"/>
    <tableColumn id="12" xr3:uid="{00000000-0010-0000-0000-00000C000000}" name="CREATED_x000a_BY" dataDxfId="3"/>
    <tableColumn id="13" xr3:uid="{00000000-0010-0000-0000-00000D000000}" name="CREATED_x000a_ON" dataDxfId="2"/>
    <tableColumn id="14" xr3:uid="{00000000-0010-0000-0000-00000E000000}" name="EXECUTED_x000a_BY" dataDxfId="1"/>
    <tableColumn id="15" xr3:uid="{00000000-0010-0000-0000-00000F000000}" name="EXECUTED_x000a_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A4" zoomScaleNormal="100" workbookViewId="0">
      <selection activeCell="E28" sqref="E28"/>
    </sheetView>
  </sheetViews>
  <sheetFormatPr defaultColWidth="10.796875" defaultRowHeight="15"/>
  <cols>
    <col min="1" max="1" width="1.19921875" style="3" customWidth="1"/>
    <col min="2" max="2" width="44.8984375" style="3" bestFit="1"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3"/>
      <c r="B1" s="23"/>
      <c r="C1" s="23"/>
      <c r="D1" s="23"/>
      <c r="E1" s="23"/>
      <c r="F1" s="23"/>
      <c r="G1" s="23"/>
      <c r="H1" s="23"/>
      <c r="I1" s="23"/>
      <c r="J1" s="23"/>
      <c r="K1" s="23"/>
      <c r="L1" s="23"/>
      <c r="M1" s="23"/>
      <c r="N1" s="23"/>
      <c r="O1" s="23"/>
      <c r="P1" s="24"/>
    </row>
    <row r="2" spans="1:16">
      <c r="A2" s="23"/>
      <c r="B2" s="23"/>
      <c r="C2" s="23"/>
      <c r="D2" s="23"/>
      <c r="E2" s="23"/>
      <c r="F2" s="23"/>
      <c r="G2" s="23"/>
      <c r="H2" s="23"/>
      <c r="I2" s="23"/>
      <c r="J2" s="23"/>
      <c r="K2" s="23"/>
      <c r="L2" s="23"/>
      <c r="M2" s="23"/>
      <c r="N2" s="23"/>
      <c r="O2" s="23"/>
      <c r="P2" s="24"/>
    </row>
    <row r="3" spans="1:16">
      <c r="A3" s="23"/>
      <c r="B3" s="23"/>
      <c r="C3" s="23"/>
      <c r="D3" s="23"/>
      <c r="E3" s="23"/>
      <c r="F3" s="23"/>
      <c r="G3" s="23"/>
      <c r="H3" s="23"/>
      <c r="I3" s="23"/>
      <c r="J3" s="23"/>
      <c r="K3" s="23"/>
      <c r="L3" s="23"/>
      <c r="M3" s="23"/>
      <c r="N3" s="23"/>
      <c r="O3" s="23"/>
      <c r="P3" s="24"/>
    </row>
    <row r="4" spans="1:16">
      <c r="A4" s="23"/>
      <c r="B4" s="23"/>
      <c r="C4" s="23"/>
      <c r="D4" s="23"/>
      <c r="E4" s="23"/>
      <c r="F4" s="23"/>
      <c r="G4" s="23"/>
      <c r="H4" s="23"/>
      <c r="I4" s="23"/>
      <c r="J4" s="23"/>
      <c r="K4" s="23"/>
      <c r="L4" s="23"/>
      <c r="M4" s="23"/>
      <c r="N4" s="23"/>
      <c r="O4" s="23"/>
      <c r="P4" s="24"/>
    </row>
    <row r="5" spans="1:16">
      <c r="A5" s="23"/>
      <c r="B5" s="23"/>
      <c r="C5" s="23"/>
      <c r="D5" s="23"/>
      <c r="E5" s="23"/>
      <c r="F5" s="23"/>
      <c r="G5" s="23"/>
      <c r="H5" s="23"/>
      <c r="I5" s="23"/>
      <c r="J5" s="23"/>
      <c r="K5" s="23"/>
      <c r="L5" s="23"/>
      <c r="M5" s="23"/>
      <c r="N5" s="23"/>
      <c r="O5" s="23"/>
      <c r="P5" s="24"/>
    </row>
    <row r="6" spans="1:16">
      <c r="A6" s="23"/>
      <c r="B6" s="23"/>
      <c r="C6" s="23"/>
      <c r="D6" s="23"/>
      <c r="E6" s="23"/>
      <c r="F6" s="23"/>
      <c r="G6" s="23"/>
      <c r="H6" s="23"/>
      <c r="I6" s="23"/>
      <c r="J6" s="23"/>
      <c r="K6" s="23"/>
      <c r="L6" s="23"/>
      <c r="M6" s="23"/>
      <c r="N6" s="23"/>
      <c r="O6" s="23"/>
      <c r="P6" s="24"/>
    </row>
    <row r="7" spans="1:16">
      <c r="A7" s="23"/>
      <c r="B7" s="23"/>
      <c r="C7" s="23"/>
      <c r="D7" s="23"/>
      <c r="E7" s="23"/>
      <c r="F7" s="23"/>
      <c r="G7" s="23"/>
      <c r="H7" s="23"/>
      <c r="I7" s="23"/>
      <c r="J7" s="23"/>
      <c r="K7" s="23"/>
      <c r="L7" s="23"/>
      <c r="M7" s="23"/>
      <c r="N7" s="23"/>
      <c r="O7" s="23"/>
      <c r="P7" s="24"/>
    </row>
    <row r="8" spans="1:16">
      <c r="A8" s="23"/>
      <c r="B8" s="23"/>
      <c r="C8" s="23"/>
      <c r="D8" s="23"/>
      <c r="E8" s="23"/>
      <c r="F8" s="23"/>
      <c r="G8" s="23"/>
      <c r="H8" s="23"/>
      <c r="I8" s="23"/>
      <c r="J8" s="23"/>
      <c r="K8" s="23"/>
      <c r="L8" s="23"/>
      <c r="M8" s="23"/>
      <c r="N8" s="23"/>
      <c r="O8" s="23"/>
      <c r="P8" s="24"/>
    </row>
    <row r="9" spans="1:16">
      <c r="A9" s="23"/>
      <c r="B9" s="23"/>
      <c r="C9" s="23"/>
      <c r="D9" s="23"/>
      <c r="E9" s="23"/>
      <c r="F9" s="23"/>
      <c r="G9" s="23"/>
      <c r="H9" s="23"/>
      <c r="I9" s="23"/>
      <c r="J9" s="23"/>
      <c r="K9" s="23"/>
      <c r="L9" s="23"/>
      <c r="M9" s="23"/>
      <c r="N9" s="23"/>
      <c r="O9" s="23"/>
      <c r="P9" s="24"/>
    </row>
    <row r="10" spans="1:16">
      <c r="A10" s="23"/>
      <c r="B10" s="23"/>
      <c r="C10" s="23"/>
      <c r="D10" s="23"/>
      <c r="E10" s="23"/>
      <c r="F10" s="23"/>
      <c r="G10" s="23"/>
      <c r="H10" s="23"/>
      <c r="I10" s="23"/>
      <c r="J10" s="23"/>
      <c r="K10" s="23"/>
      <c r="L10" s="23"/>
      <c r="M10" s="23"/>
      <c r="N10" s="23"/>
      <c r="O10" s="23"/>
      <c r="P10" s="24"/>
    </row>
    <row r="11" spans="1:16">
      <c r="A11" s="23"/>
      <c r="B11" s="23"/>
      <c r="C11" s="23"/>
      <c r="D11" s="23"/>
      <c r="E11" s="23"/>
      <c r="F11" s="23"/>
      <c r="G11" s="23"/>
      <c r="H11" s="23"/>
      <c r="I11" s="23"/>
      <c r="J11" s="23"/>
      <c r="K11" s="23"/>
      <c r="L11" s="23"/>
      <c r="M11" s="23"/>
      <c r="N11" s="23"/>
      <c r="O11" s="23"/>
      <c r="P11" s="24"/>
    </row>
    <row r="12" spans="1:16">
      <c r="A12" s="23"/>
      <c r="B12" s="23"/>
      <c r="C12" s="23"/>
      <c r="D12" s="23"/>
      <c r="E12" s="23"/>
      <c r="F12" s="23"/>
      <c r="G12" s="23"/>
      <c r="H12" s="23"/>
      <c r="I12" s="23"/>
      <c r="J12" s="23"/>
      <c r="K12" s="23"/>
      <c r="L12" s="23"/>
      <c r="M12" s="23"/>
      <c r="N12" s="23"/>
      <c r="O12" s="23"/>
      <c r="P12" s="24"/>
    </row>
    <row r="13" spans="1:16">
      <c r="A13" s="23"/>
      <c r="B13" s="23"/>
      <c r="C13" s="23"/>
      <c r="D13" s="23"/>
      <c r="E13" s="23"/>
      <c r="F13" s="23"/>
      <c r="G13" s="23"/>
      <c r="H13" s="23"/>
      <c r="I13" s="23"/>
      <c r="J13" s="23"/>
      <c r="K13" s="23"/>
      <c r="L13" s="23"/>
      <c r="M13" s="23"/>
      <c r="N13" s="23"/>
      <c r="O13" s="23"/>
      <c r="P13" s="24"/>
    </row>
    <row r="14" spans="1:16">
      <c r="A14" s="23"/>
      <c r="B14" s="23"/>
      <c r="C14" s="23"/>
      <c r="D14" s="23"/>
      <c r="E14" s="23"/>
      <c r="F14" s="23"/>
      <c r="G14" s="23"/>
      <c r="H14" s="23"/>
      <c r="I14" s="23"/>
      <c r="J14" s="23"/>
      <c r="K14" s="23"/>
      <c r="L14" s="23"/>
      <c r="M14" s="23"/>
      <c r="N14" s="23"/>
      <c r="O14" s="23"/>
      <c r="P14" s="24"/>
    </row>
    <row r="15" spans="1:16">
      <c r="A15" s="23"/>
      <c r="B15" s="23"/>
      <c r="C15" s="23"/>
      <c r="D15" s="23"/>
      <c r="E15" s="23"/>
      <c r="F15" s="23"/>
      <c r="G15" s="23"/>
      <c r="H15" s="23"/>
      <c r="I15" s="23"/>
      <c r="J15" s="23"/>
      <c r="K15" s="23"/>
      <c r="L15" s="23"/>
      <c r="M15" s="23"/>
      <c r="N15" s="23"/>
      <c r="O15" s="23"/>
      <c r="P15" s="24"/>
    </row>
    <row r="16" spans="1:16">
      <c r="A16" s="23"/>
      <c r="B16" s="23"/>
      <c r="C16" s="23"/>
      <c r="D16" s="23"/>
      <c r="E16" s="23"/>
      <c r="F16" s="23"/>
      <c r="G16" s="23"/>
      <c r="H16" s="23"/>
      <c r="I16" s="23"/>
      <c r="J16" s="23"/>
      <c r="K16" s="23"/>
      <c r="L16" s="23"/>
      <c r="M16" s="23"/>
      <c r="N16" s="23"/>
      <c r="O16" s="23"/>
      <c r="P16" s="24"/>
    </row>
    <row r="17" spans="1:16">
      <c r="A17" s="23"/>
      <c r="B17" s="23"/>
      <c r="C17" s="23"/>
      <c r="D17" s="23"/>
      <c r="E17" s="23"/>
      <c r="F17" s="23"/>
      <c r="G17" s="23"/>
      <c r="H17" s="23"/>
      <c r="I17" s="23"/>
      <c r="J17" s="23"/>
      <c r="K17" s="23"/>
      <c r="L17" s="23"/>
      <c r="M17" s="23"/>
      <c r="N17" s="23"/>
      <c r="O17" s="23"/>
      <c r="P17" s="24"/>
    </row>
    <row r="18" spans="1:16">
      <c r="A18" s="23"/>
      <c r="B18" s="23"/>
      <c r="C18" s="23"/>
      <c r="D18" s="23"/>
      <c r="E18" s="23"/>
      <c r="F18" s="23"/>
      <c r="G18" s="23"/>
      <c r="H18" s="23"/>
      <c r="I18" s="23"/>
      <c r="J18" s="23"/>
      <c r="K18" s="23"/>
      <c r="L18" s="23"/>
      <c r="M18" s="23"/>
      <c r="N18" s="23"/>
      <c r="O18" s="23"/>
      <c r="P18" s="24"/>
    </row>
    <row r="19" spans="1:16">
      <c r="A19" s="23"/>
      <c r="B19" s="23"/>
      <c r="C19" s="23"/>
      <c r="D19" s="23"/>
      <c r="E19" s="23"/>
      <c r="F19" s="23"/>
      <c r="G19" s="23"/>
      <c r="H19" s="23"/>
      <c r="I19" s="23"/>
      <c r="J19" s="23"/>
      <c r="K19" s="23"/>
      <c r="L19" s="23"/>
      <c r="M19" s="23"/>
      <c r="N19" s="23"/>
      <c r="O19" s="23"/>
      <c r="P19" s="24"/>
    </row>
    <row r="20" spans="1:16">
      <c r="A20" s="23"/>
      <c r="B20" s="23"/>
      <c r="C20" s="23"/>
      <c r="D20" s="23"/>
      <c r="E20" s="23"/>
      <c r="F20" s="23"/>
      <c r="G20" s="23"/>
      <c r="H20" s="23"/>
      <c r="I20" s="23"/>
      <c r="J20" s="23"/>
      <c r="K20" s="23"/>
      <c r="L20" s="23"/>
      <c r="M20" s="23"/>
      <c r="N20" s="23"/>
      <c r="O20" s="23"/>
      <c r="P20" s="24"/>
    </row>
    <row r="21" spans="1:16">
      <c r="A21" s="23"/>
      <c r="B21" s="23"/>
      <c r="C21" s="23"/>
      <c r="D21" s="23"/>
      <c r="E21" s="23"/>
      <c r="F21" s="23"/>
      <c r="G21" s="23"/>
      <c r="H21" s="23"/>
      <c r="I21" s="23"/>
      <c r="J21" s="23"/>
      <c r="K21" s="23"/>
      <c r="L21" s="23"/>
      <c r="M21" s="23"/>
      <c r="N21" s="23"/>
      <c r="O21" s="23"/>
      <c r="P21" s="24"/>
    </row>
    <row r="22" spans="1:16">
      <c r="A22" s="23"/>
      <c r="B22" s="23"/>
      <c r="C22" s="23"/>
      <c r="D22" s="23"/>
      <c r="E22" s="23"/>
      <c r="F22" s="23"/>
      <c r="G22" s="23"/>
      <c r="H22" s="23"/>
      <c r="I22" s="23"/>
      <c r="J22" s="23"/>
      <c r="K22" s="23"/>
      <c r="L22" s="23"/>
      <c r="M22" s="23"/>
      <c r="N22" s="23"/>
      <c r="O22" s="23"/>
      <c r="P22" s="24"/>
    </row>
    <row r="23" spans="1:16">
      <c r="A23" s="23"/>
      <c r="B23" s="23"/>
      <c r="C23" s="23"/>
      <c r="D23" s="23"/>
      <c r="E23" s="23"/>
      <c r="F23" s="23"/>
      <c r="G23" s="23"/>
      <c r="H23" s="23"/>
      <c r="I23" s="23"/>
      <c r="J23" s="23"/>
      <c r="K23" s="23"/>
      <c r="L23" s="23"/>
      <c r="M23" s="23"/>
      <c r="N23" s="23"/>
      <c r="O23" s="23"/>
      <c r="P23" s="24"/>
    </row>
    <row r="24" spans="1:16">
      <c r="A24" s="23"/>
      <c r="B24" s="23"/>
      <c r="C24" s="23"/>
      <c r="D24" s="23"/>
      <c r="E24" s="23"/>
      <c r="F24" s="23"/>
      <c r="G24" s="23"/>
      <c r="H24" s="23"/>
      <c r="I24" s="23"/>
      <c r="J24" s="23"/>
      <c r="K24" s="23"/>
      <c r="L24" s="23"/>
      <c r="M24" s="23"/>
      <c r="N24" s="23"/>
      <c r="O24" s="23"/>
      <c r="P24" s="24"/>
    </row>
    <row r="25" spans="1:16">
      <c r="A25" s="23"/>
      <c r="B25" s="23"/>
      <c r="C25" s="23"/>
      <c r="D25" s="23"/>
      <c r="E25" s="23"/>
      <c r="F25" s="23"/>
      <c r="G25" s="23"/>
      <c r="H25" s="23"/>
      <c r="I25" s="23"/>
      <c r="J25" s="23"/>
      <c r="K25" s="23"/>
      <c r="L25" s="23"/>
      <c r="M25" s="23"/>
      <c r="N25" s="23"/>
      <c r="O25" s="23"/>
      <c r="P25" s="24"/>
    </row>
    <row r="26" spans="1:16">
      <c r="A26" s="23"/>
      <c r="B26" s="23"/>
      <c r="C26" s="23"/>
      <c r="D26" s="23"/>
      <c r="E26" s="23"/>
      <c r="F26" s="23"/>
      <c r="G26" s="23"/>
      <c r="H26" s="23"/>
      <c r="I26" s="23"/>
      <c r="J26" s="23"/>
      <c r="K26" s="23"/>
      <c r="L26" s="23"/>
      <c r="M26" s="23"/>
      <c r="N26" s="23"/>
      <c r="O26" s="23"/>
      <c r="P26" s="24"/>
    </row>
    <row r="27" spans="1:16">
      <c r="A27" s="23"/>
      <c r="B27" s="23"/>
      <c r="C27" s="23"/>
      <c r="D27" s="23"/>
      <c r="E27" s="23"/>
      <c r="F27" s="23"/>
      <c r="G27" s="23"/>
      <c r="H27" s="23"/>
      <c r="I27" s="23"/>
      <c r="J27" s="23"/>
      <c r="K27" s="23"/>
      <c r="L27" s="23"/>
      <c r="M27" s="23"/>
      <c r="N27" s="23"/>
      <c r="O27" s="23"/>
      <c r="P27" s="24"/>
    </row>
    <row r="28" spans="1:16" ht="16.05" customHeight="1">
      <c r="A28" s="23"/>
      <c r="B28" s="23"/>
      <c r="C28" s="23"/>
      <c r="D28" s="23"/>
      <c r="E28" s="23"/>
      <c r="F28" s="23"/>
      <c r="G28" s="23"/>
      <c r="H28" s="23"/>
      <c r="I28" s="23"/>
      <c r="J28" s="23"/>
      <c r="K28" s="23"/>
      <c r="L28" s="23"/>
      <c r="M28" s="23"/>
      <c r="N28" s="23"/>
      <c r="O28" s="23"/>
      <c r="P28" s="24"/>
    </row>
    <row r="29" spans="1:16" ht="16.05" customHeight="1">
      <c r="A29" s="23"/>
      <c r="B29" s="23"/>
      <c r="C29" s="23"/>
      <c r="D29" s="23"/>
      <c r="E29" s="23"/>
      <c r="F29" s="23"/>
      <c r="G29" s="23"/>
      <c r="H29" s="23"/>
      <c r="I29" s="23"/>
      <c r="J29" s="23"/>
      <c r="K29" s="23"/>
      <c r="L29" s="23"/>
      <c r="M29" s="23"/>
      <c r="N29" s="23"/>
      <c r="O29" s="23"/>
      <c r="P29" s="24"/>
    </row>
    <row r="30" spans="1:16" ht="16.05" customHeight="1">
      <c r="A30" s="23"/>
      <c r="B30" s="23"/>
      <c r="C30" s="23"/>
      <c r="D30" s="23"/>
      <c r="E30" s="23"/>
      <c r="F30" s="23"/>
      <c r="G30" s="23"/>
      <c r="H30" s="23"/>
      <c r="I30" s="23"/>
      <c r="J30" s="23"/>
      <c r="K30" s="23"/>
      <c r="L30" s="23"/>
      <c r="M30" s="23"/>
      <c r="N30" s="23"/>
      <c r="O30" s="23"/>
      <c r="P30" s="24"/>
    </row>
    <row r="31" spans="1:16" ht="16.05" customHeight="1">
      <c r="A31" s="23"/>
      <c r="B31" s="23"/>
      <c r="C31" s="23"/>
      <c r="D31" s="23"/>
      <c r="E31" s="23"/>
      <c r="F31" s="23"/>
      <c r="G31" s="23"/>
      <c r="H31" s="23"/>
      <c r="I31" s="23"/>
      <c r="J31" s="23"/>
      <c r="K31" s="23"/>
      <c r="L31" s="23"/>
      <c r="M31" s="23"/>
      <c r="N31" s="23"/>
      <c r="O31" s="23"/>
      <c r="P31" s="24"/>
    </row>
    <row r="32" spans="1:16" ht="16.05" customHeight="1">
      <c r="P32" s="25"/>
    </row>
    <row r="33" spans="2:15" ht="42" customHeight="1" thickBot="1">
      <c r="B33" s="19" t="s">
        <v>33</v>
      </c>
      <c r="C33" s="20" t="s">
        <v>34</v>
      </c>
      <c r="D33" s="21"/>
      <c r="E33" s="19" t="s">
        <v>32</v>
      </c>
      <c r="F33" s="20" t="s">
        <v>34</v>
      </c>
      <c r="G33" s="21"/>
      <c r="H33" s="19" t="s">
        <v>6</v>
      </c>
      <c r="I33" s="20" t="s">
        <v>34</v>
      </c>
      <c r="J33" s="21"/>
      <c r="K33" s="19" t="s">
        <v>27</v>
      </c>
      <c r="L33" s="20" t="s">
        <v>34</v>
      </c>
      <c r="M33" s="21"/>
      <c r="N33" s="19" t="s">
        <v>11</v>
      </c>
      <c r="O33" s="22" t="s">
        <v>34</v>
      </c>
    </row>
    <row r="34" spans="2:15" ht="15.6" thickTop="1">
      <c r="B34" s="3" t="s">
        <v>48</v>
      </c>
      <c r="C34" s="3">
        <f>COUNTIF(Table_test_case[FUNGTION],TablePage[[#This Row],[PAGE]])</f>
        <v>1</v>
      </c>
      <c r="E34" s="3" t="s">
        <v>8</v>
      </c>
      <c r="F34" s="3">
        <f>COUNTIF(Table_test_case[TEST TYPE],TableTestType[[#This Row],[TYPE TEST]])</f>
        <v>74</v>
      </c>
      <c r="H34" s="3" t="s">
        <v>23</v>
      </c>
      <c r="I34" s="3">
        <f>COUNTIF(Table_test_case[STATUS],TableStatus[[#This Row],[STATUS]])</f>
        <v>94</v>
      </c>
      <c r="K34" s="3" t="s">
        <v>28</v>
      </c>
      <c r="L34" s="3">
        <f>COUNTIF(Table_test_case[PRIORITY],TablePriority[[#This Row],[PRIORITY ]])</f>
        <v>0</v>
      </c>
      <c r="N34" s="3" t="s">
        <v>9</v>
      </c>
      <c r="O34" s="3">
        <f>COUNTIF(Table_test_case[PIC],TablePic[[#This Row],[PIC]])</f>
        <v>0</v>
      </c>
    </row>
    <row r="35" spans="2:15">
      <c r="B35" s="3" t="s">
        <v>37</v>
      </c>
      <c r="C35" s="3">
        <f>COUNTIF(Table_test_case[FUNGTION],TablePage[[#This Row],[PAGE]])</f>
        <v>26</v>
      </c>
      <c r="E35" s="3" t="s">
        <v>12</v>
      </c>
      <c r="F35" s="3">
        <f>COUNTIF(Table_test_case[TEST TYPE],TableTestType[[#This Row],[TYPE TEST]])</f>
        <v>52</v>
      </c>
      <c r="H35" s="3" t="s">
        <v>24</v>
      </c>
      <c r="I35" s="3">
        <f>COUNTIF(Table_test_case[STATUS],TableStatus[[#This Row],[STATUS]])</f>
        <v>32</v>
      </c>
      <c r="K35" s="3" t="s">
        <v>29</v>
      </c>
      <c r="L35" s="3">
        <f>COUNTIF(Table_test_case[PRIORITY],TablePriority[[#This Row],[PRIORITY ]])</f>
        <v>1</v>
      </c>
      <c r="N35" s="3" t="s">
        <v>40</v>
      </c>
      <c r="O35" s="3">
        <f>COUNTIF(Table_test_case[PIC],TablePic[[#This Row],[PIC]])</f>
        <v>0</v>
      </c>
    </row>
    <row r="36" spans="2:15">
      <c r="B36" s="3" t="s">
        <v>38</v>
      </c>
      <c r="C36" s="3">
        <f>COUNTIF(Table_test_case[FUNGTION],TablePage[[#This Row],[PAGE]])</f>
        <v>17</v>
      </c>
      <c r="H36" s="3" t="s">
        <v>25</v>
      </c>
      <c r="I36" s="3">
        <f>COUNTIF(Table_test_case[STATUS],TableStatus[[#This Row],[STATUS]])</f>
        <v>0</v>
      </c>
      <c r="K36" s="3" t="s">
        <v>30</v>
      </c>
      <c r="L36" s="3">
        <f>COUNTIF(Table_test_case[PRIORITY],TablePriority[[#This Row],[PRIORITY ]])</f>
        <v>67</v>
      </c>
      <c r="N36" s="3" t="s">
        <v>41</v>
      </c>
      <c r="O36" s="3">
        <f>COUNTIF(Table_test_case[PIC],TablePic[[#This Row],[PIC]])</f>
        <v>0</v>
      </c>
    </row>
    <row r="37" spans="2:15">
      <c r="B37" s="3" t="s">
        <v>151</v>
      </c>
      <c r="C37" s="4">
        <f>COUNTIF(Table_test_case[FUNGTION],TablePage[[#This Row],[PAGE]])</f>
        <v>49</v>
      </c>
      <c r="H37" s="3" t="s">
        <v>21</v>
      </c>
      <c r="I37" s="3">
        <f>COUNTIF(Table_test_case[STATUS],TableStatus[[#This Row],[STATUS]])</f>
        <v>1</v>
      </c>
      <c r="K37" s="3" t="s">
        <v>31</v>
      </c>
      <c r="L37" s="3">
        <f>COUNTIF(Table_test_case[PRIORITY],TablePriority[[#This Row],[PRIORITY ]])</f>
        <v>58</v>
      </c>
      <c r="N37" s="3" t="s">
        <v>42</v>
      </c>
      <c r="O37" s="4">
        <f>COUNTIF(Table_test_case[PIC],TablePic[[#This Row],[PIC]])</f>
        <v>0</v>
      </c>
    </row>
    <row r="38" spans="2:15">
      <c r="B38" s="3" t="s">
        <v>152</v>
      </c>
      <c r="C38" s="4">
        <f>COUNTIF(Table_test_case[FUNGTION],TablePage[[#This Row],[PAGE]])</f>
        <v>33</v>
      </c>
      <c r="I38" s="4"/>
      <c r="N38" s="3" t="s">
        <v>43</v>
      </c>
      <c r="O38" s="4">
        <f>COUNTIF(Table_test_case[PIC],TablePic[[#This Row],[PIC]])</f>
        <v>0</v>
      </c>
    </row>
    <row r="39" spans="2:15">
      <c r="I39" s="4"/>
      <c r="N39" s="3" t="s">
        <v>44</v>
      </c>
      <c r="O39" s="4">
        <f>COUNTIF(Table_test_case[PIC],TablePic[[#This Row],[PIC]])</f>
        <v>0</v>
      </c>
    </row>
    <row r="40" spans="2:15">
      <c r="I40" s="4"/>
      <c r="N40" s="3" t="s">
        <v>39</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143"/>
  <sheetViews>
    <sheetView showGridLines="0" tabSelected="1" zoomScale="85" zoomScaleNormal="85" workbookViewId="0">
      <pane xSplit="6" ySplit="9" topLeftCell="G36" activePane="bottomRight" state="frozen"/>
      <selection activeCell="C17" sqref="C17:C18"/>
      <selection pane="topRight" activeCell="C17" sqref="C17:C18"/>
      <selection pane="bottomLeft" activeCell="C17" sqref="C17:C18"/>
      <selection pane="bottomRight" activeCell="G37" sqref="G37"/>
    </sheetView>
  </sheetViews>
  <sheetFormatPr defaultColWidth="9" defaultRowHeight="15" customHeight="1"/>
  <cols>
    <col min="1" max="1" width="4" style="5" customWidth="1"/>
    <col min="2" max="2" width="37.59765625" style="5" bestFit="1" customWidth="1"/>
    <col min="3" max="3" width="9.796875" style="5" customWidth="1"/>
    <col min="4" max="4" width="8.19921875" style="5" bestFit="1" customWidth="1"/>
    <col min="5" max="5" width="11" style="5" customWidth="1"/>
    <col min="6" max="6" width="2.5" style="5" customWidth="1"/>
    <col min="7" max="8" width="35.69921875" style="5" customWidth="1"/>
    <col min="9" max="9" width="44.5" style="5" bestFit="1" customWidth="1"/>
    <col min="10" max="10" width="35.69921875" style="5" customWidth="1"/>
    <col min="11" max="11" width="33.8984375" style="5" bestFit="1" customWidth="1"/>
    <col min="12" max="12" width="22.59765625" style="5" bestFit="1" customWidth="1"/>
    <col min="13" max="13" width="23.796875" style="5" customWidth="1"/>
    <col min="14" max="15" width="12.796875" style="5" customWidth="1"/>
    <col min="16" max="16" width="16.796875" style="5" customWidth="1"/>
    <col min="17" max="17" width="15" style="5" bestFit="1" customWidth="1"/>
    <col min="18" max="18" width="16.796875" style="5" customWidth="1"/>
    <col min="19" max="19" width="15" style="17" bestFit="1" customWidth="1"/>
    <col min="20" max="16384" width="9" style="5"/>
  </cols>
  <sheetData>
    <row r="1" spans="1:19" ht="15" customHeight="1">
      <c r="S1" s="5"/>
    </row>
    <row r="2" spans="1:19" ht="15" customHeight="1">
      <c r="A2" s="6"/>
      <c r="C2" s="28"/>
      <c r="D2" s="28"/>
      <c r="E2" s="28"/>
      <c r="F2" s="7"/>
      <c r="G2" s="8"/>
      <c r="H2" s="8"/>
      <c r="I2" s="9"/>
      <c r="J2" s="6"/>
      <c r="K2" s="6"/>
      <c r="L2" s="6"/>
      <c r="M2" s="6"/>
      <c r="N2" s="6"/>
      <c r="O2" s="6"/>
      <c r="P2" s="6"/>
      <c r="Q2" s="6"/>
      <c r="R2" s="6"/>
      <c r="S2" s="5"/>
    </row>
    <row r="3" spans="1:19" ht="15" customHeight="1">
      <c r="A3" s="6"/>
      <c r="C3" s="44"/>
      <c r="D3" s="44"/>
      <c r="E3" s="29"/>
      <c r="F3" s="7"/>
      <c r="G3" s="10"/>
      <c r="H3" s="10"/>
      <c r="I3" s="9"/>
      <c r="J3" s="6"/>
      <c r="K3" s="6"/>
      <c r="L3" s="6"/>
      <c r="M3" s="6"/>
      <c r="N3" s="6"/>
      <c r="O3" s="6"/>
      <c r="P3" s="6"/>
      <c r="Q3" s="6"/>
      <c r="R3" s="6"/>
      <c r="S3" s="5"/>
    </row>
    <row r="4" spans="1:19" ht="15" customHeight="1">
      <c r="A4" s="6"/>
      <c r="C4" s="44"/>
      <c r="D4" s="44"/>
      <c r="E4" s="30"/>
      <c r="F4" s="7"/>
      <c r="G4" s="11"/>
      <c r="H4" s="11"/>
      <c r="I4" s="9"/>
      <c r="J4" s="6"/>
      <c r="K4" s="6"/>
      <c r="L4" s="6"/>
      <c r="M4" s="6"/>
      <c r="N4" s="6"/>
      <c r="O4" s="6"/>
      <c r="P4" s="6"/>
      <c r="Q4" s="6"/>
      <c r="R4" s="6"/>
      <c r="S4" s="5"/>
    </row>
    <row r="5" spans="1:19" ht="15" customHeight="1">
      <c r="A5" s="6"/>
      <c r="C5" s="44"/>
      <c r="D5" s="44"/>
      <c r="E5" s="30"/>
      <c r="F5" s="12"/>
      <c r="G5" s="11"/>
      <c r="H5" s="11"/>
      <c r="I5" s="13"/>
      <c r="J5" s="6"/>
      <c r="K5" s="6"/>
      <c r="L5" s="6"/>
      <c r="M5" s="6"/>
      <c r="N5" s="6"/>
      <c r="O5" s="6"/>
      <c r="P5" s="6"/>
      <c r="Q5" s="6"/>
      <c r="R5" s="6"/>
      <c r="S5" s="5"/>
    </row>
    <row r="6" spans="1:19" ht="15" customHeight="1">
      <c r="A6" s="6"/>
      <c r="B6" s="14"/>
      <c r="C6" s="44"/>
      <c r="D6" s="44"/>
      <c r="E6" s="30"/>
      <c r="F6" s="14"/>
      <c r="G6" s="15"/>
      <c r="H6" s="15"/>
      <c r="I6" s="13"/>
      <c r="J6" s="6"/>
      <c r="K6" s="6"/>
      <c r="L6" s="6"/>
      <c r="M6" s="6"/>
      <c r="N6" s="6"/>
      <c r="O6" s="6"/>
      <c r="P6" s="6"/>
      <c r="Q6" s="6"/>
      <c r="R6" s="6"/>
      <c r="S6" s="5"/>
    </row>
    <row r="7" spans="1:19" ht="15" customHeight="1">
      <c r="A7" s="6"/>
      <c r="B7" s="14"/>
      <c r="F7" s="14"/>
      <c r="G7" s="15"/>
      <c r="H7" s="15"/>
      <c r="I7" s="13"/>
      <c r="J7" s="6"/>
      <c r="K7" s="6"/>
      <c r="L7" s="6"/>
      <c r="M7" s="6"/>
      <c r="N7" s="6"/>
      <c r="O7" s="6"/>
      <c r="P7" s="6"/>
      <c r="Q7" s="6"/>
      <c r="R7" s="6"/>
      <c r="S7" s="5"/>
    </row>
    <row r="8" spans="1:19" ht="15" customHeight="1">
      <c r="A8" s="6"/>
      <c r="B8" s="6"/>
      <c r="G8" s="9"/>
      <c r="H8" s="9"/>
      <c r="I8" s="9"/>
      <c r="J8" s="6"/>
      <c r="K8" s="6"/>
      <c r="L8" s="6"/>
      <c r="M8" s="6"/>
      <c r="N8" s="6"/>
      <c r="O8" s="6"/>
      <c r="P8" s="6"/>
      <c r="Q8" s="6"/>
      <c r="R8" s="6"/>
      <c r="S8" s="5"/>
    </row>
    <row r="9" spans="1:19" ht="39" customHeight="1">
      <c r="A9" s="26" t="s">
        <v>0</v>
      </c>
      <c r="B9" s="27" t="s">
        <v>1</v>
      </c>
      <c r="C9" s="27" t="s">
        <v>45</v>
      </c>
      <c r="D9" s="27" t="s">
        <v>5</v>
      </c>
      <c r="E9" s="27" t="s">
        <v>6</v>
      </c>
      <c r="F9" s="31" t="s">
        <v>35</v>
      </c>
      <c r="G9" s="27" t="s">
        <v>15</v>
      </c>
      <c r="H9" s="27" t="s">
        <v>16</v>
      </c>
      <c r="I9" s="27" t="s">
        <v>36</v>
      </c>
      <c r="J9" s="27" t="s">
        <v>2</v>
      </c>
      <c r="K9" s="27" t="s">
        <v>3</v>
      </c>
      <c r="L9" s="27" t="s">
        <v>4</v>
      </c>
      <c r="M9" s="27" t="s">
        <v>7</v>
      </c>
      <c r="N9" s="27" t="s">
        <v>26</v>
      </c>
      <c r="O9" s="27" t="s">
        <v>11</v>
      </c>
      <c r="P9" s="27" t="s">
        <v>17</v>
      </c>
      <c r="Q9" s="27" t="s">
        <v>18</v>
      </c>
      <c r="R9" s="27" t="s">
        <v>19</v>
      </c>
      <c r="S9" s="27" t="s">
        <v>20</v>
      </c>
    </row>
    <row r="10" spans="1:19" s="16" customFormat="1" ht="66" hidden="1">
      <c r="A10" s="40">
        <v>1</v>
      </c>
      <c r="B10" s="35" t="s">
        <v>48</v>
      </c>
      <c r="C10" s="35" t="s">
        <v>46</v>
      </c>
      <c r="D10" s="36" t="s">
        <v>8</v>
      </c>
      <c r="E10" s="36" t="s">
        <v>23</v>
      </c>
      <c r="F10" s="41"/>
      <c r="G10" s="36" t="s">
        <v>49</v>
      </c>
      <c r="H10" s="36" t="s">
        <v>47</v>
      </c>
      <c r="I10" s="36" t="s">
        <v>56</v>
      </c>
      <c r="J10" s="36" t="s">
        <v>50</v>
      </c>
      <c r="K10" s="36" t="s">
        <v>51</v>
      </c>
      <c r="L10" s="36" t="s">
        <v>51</v>
      </c>
      <c r="M10" s="37"/>
      <c r="N10" s="37" t="s">
        <v>29</v>
      </c>
      <c r="O10" s="37"/>
      <c r="P10" s="39" t="s">
        <v>39</v>
      </c>
      <c r="Q10" s="39">
        <v>44660.625868055555</v>
      </c>
      <c r="R10" s="37" t="s">
        <v>39</v>
      </c>
      <c r="S10" s="39">
        <v>44660.625868055555</v>
      </c>
    </row>
    <row r="11" spans="1:19" s="16" customFormat="1" ht="52.8" hidden="1">
      <c r="A11" s="40">
        <v>2</v>
      </c>
      <c r="B11" s="35" t="s">
        <v>37</v>
      </c>
      <c r="C11" s="35" t="s">
        <v>52</v>
      </c>
      <c r="D11" s="36" t="s">
        <v>8</v>
      </c>
      <c r="E11" s="36" t="s">
        <v>23</v>
      </c>
      <c r="F11" s="41"/>
      <c r="G11" s="36" t="s">
        <v>487</v>
      </c>
      <c r="H11" s="36" t="s">
        <v>53</v>
      </c>
      <c r="I11" s="36"/>
      <c r="J11" s="36" t="s">
        <v>488</v>
      </c>
      <c r="K11" s="36" t="s">
        <v>489</v>
      </c>
      <c r="L11" s="36" t="s">
        <v>489</v>
      </c>
      <c r="M11" s="37"/>
      <c r="N11" s="37" t="s">
        <v>30</v>
      </c>
      <c r="O11" s="37"/>
      <c r="P11" s="39" t="s">
        <v>39</v>
      </c>
      <c r="Q11" s="39">
        <v>44660.626828703702</v>
      </c>
      <c r="R11" s="37" t="s">
        <v>39</v>
      </c>
      <c r="S11" s="39">
        <v>44660.639328703706</v>
      </c>
    </row>
    <row r="12" spans="1:19" s="16" customFormat="1" ht="118.8" hidden="1">
      <c r="A12" s="40">
        <v>3</v>
      </c>
      <c r="B12" s="35" t="s">
        <v>37</v>
      </c>
      <c r="C12" s="35" t="s">
        <v>54</v>
      </c>
      <c r="D12" s="36" t="s">
        <v>8</v>
      </c>
      <c r="E12" s="36" t="s">
        <v>23</v>
      </c>
      <c r="F12" s="41"/>
      <c r="G12" s="36" t="s">
        <v>486</v>
      </c>
      <c r="H12" s="36" t="s">
        <v>59</v>
      </c>
      <c r="I12" s="36" t="s">
        <v>57</v>
      </c>
      <c r="J12" s="36" t="s">
        <v>490</v>
      </c>
      <c r="K12" s="36" t="s">
        <v>58</v>
      </c>
      <c r="L12" s="36" t="s">
        <v>58</v>
      </c>
      <c r="M12" s="42" t="s">
        <v>55</v>
      </c>
      <c r="N12" s="37" t="s">
        <v>30</v>
      </c>
      <c r="O12" s="37"/>
      <c r="P12" s="39" t="s">
        <v>39</v>
      </c>
      <c r="Q12" s="39">
        <v>44660.636273148149</v>
      </c>
      <c r="R12" s="37" t="s">
        <v>39</v>
      </c>
      <c r="S12" s="39">
        <v>44660.662662037037</v>
      </c>
    </row>
    <row r="13" spans="1:19" s="16" customFormat="1" ht="105.6" hidden="1">
      <c r="A13" s="40">
        <v>4</v>
      </c>
      <c r="B13" s="35" t="s">
        <v>37</v>
      </c>
      <c r="C13" s="35" t="s">
        <v>60</v>
      </c>
      <c r="D13" s="36" t="s">
        <v>8</v>
      </c>
      <c r="E13" s="36" t="s">
        <v>23</v>
      </c>
      <c r="F13" s="41"/>
      <c r="G13" s="36" t="s">
        <v>61</v>
      </c>
      <c r="H13" s="36" t="s">
        <v>59</v>
      </c>
      <c r="I13" s="36" t="s">
        <v>62</v>
      </c>
      <c r="J13" s="36" t="s">
        <v>491</v>
      </c>
      <c r="K13" s="36" t="s">
        <v>58</v>
      </c>
      <c r="L13" s="36" t="s">
        <v>58</v>
      </c>
      <c r="M13" s="37"/>
      <c r="N13" s="37" t="s">
        <v>30</v>
      </c>
      <c r="O13" s="37"/>
      <c r="P13" s="39" t="s">
        <v>39</v>
      </c>
      <c r="Q13" s="39">
        <v>44660.663368055553</v>
      </c>
      <c r="R13" s="37" t="s">
        <v>39</v>
      </c>
      <c r="S13" s="39">
        <v>44660.670312499999</v>
      </c>
    </row>
    <row r="14" spans="1:19" ht="105.6" hidden="1">
      <c r="A14" s="40">
        <v>5</v>
      </c>
      <c r="B14" s="35" t="s">
        <v>37</v>
      </c>
      <c r="C14" s="35" t="s">
        <v>63</v>
      </c>
      <c r="D14" s="36" t="s">
        <v>8</v>
      </c>
      <c r="E14" s="36" t="s">
        <v>24</v>
      </c>
      <c r="F14" s="41"/>
      <c r="G14" s="36" t="s">
        <v>64</v>
      </c>
      <c r="H14" s="36" t="s">
        <v>59</v>
      </c>
      <c r="I14" s="36" t="s">
        <v>65</v>
      </c>
      <c r="J14" s="36" t="s">
        <v>492</v>
      </c>
      <c r="K14" s="36" t="s">
        <v>58</v>
      </c>
      <c r="L14" s="36" t="s">
        <v>484</v>
      </c>
      <c r="M14" s="42" t="s">
        <v>501</v>
      </c>
      <c r="N14" s="37" t="s">
        <v>30</v>
      </c>
      <c r="O14" s="37"/>
      <c r="P14" s="39" t="s">
        <v>39</v>
      </c>
      <c r="Q14" s="39">
        <v>44660.671064814815</v>
      </c>
      <c r="R14" s="37" t="s">
        <v>39</v>
      </c>
      <c r="S14" s="39">
        <v>44660.671064814815</v>
      </c>
    </row>
    <row r="15" spans="1:19" ht="92.4" hidden="1">
      <c r="A15" s="40">
        <v>6</v>
      </c>
      <c r="B15" s="35" t="s">
        <v>37</v>
      </c>
      <c r="C15" s="35" t="s">
        <v>66</v>
      </c>
      <c r="D15" s="36" t="s">
        <v>12</v>
      </c>
      <c r="E15" s="36" t="s">
        <v>23</v>
      </c>
      <c r="F15" s="41"/>
      <c r="G15" s="36" t="s">
        <v>67</v>
      </c>
      <c r="H15" s="36" t="s">
        <v>59</v>
      </c>
      <c r="I15" s="36" t="s">
        <v>68</v>
      </c>
      <c r="J15" s="36" t="s">
        <v>493</v>
      </c>
      <c r="K15" s="36" t="s">
        <v>485</v>
      </c>
      <c r="L15" s="36" t="s">
        <v>485</v>
      </c>
      <c r="M15" s="37"/>
      <c r="N15" s="37" t="s">
        <v>30</v>
      </c>
      <c r="O15" s="37"/>
      <c r="P15" s="39" t="s">
        <v>39</v>
      </c>
      <c r="Q15" s="39">
        <v>44660.679409722223</v>
      </c>
      <c r="R15" s="37" t="s">
        <v>39</v>
      </c>
      <c r="S15" s="39">
        <v>44660.679409722223</v>
      </c>
    </row>
    <row r="16" spans="1:19" ht="105.6" hidden="1">
      <c r="A16" s="40">
        <v>7</v>
      </c>
      <c r="B16" s="35" t="s">
        <v>37</v>
      </c>
      <c r="C16" s="35" t="s">
        <v>69</v>
      </c>
      <c r="D16" s="36" t="s">
        <v>8</v>
      </c>
      <c r="E16" s="36" t="s">
        <v>23</v>
      </c>
      <c r="F16" s="41"/>
      <c r="G16" s="36" t="s">
        <v>76</v>
      </c>
      <c r="H16" s="36" t="s">
        <v>59</v>
      </c>
      <c r="I16" s="36" t="s">
        <v>70</v>
      </c>
      <c r="J16" s="36" t="s">
        <v>494</v>
      </c>
      <c r="K16" s="36" t="s">
        <v>71</v>
      </c>
      <c r="L16" s="36" t="s">
        <v>71</v>
      </c>
      <c r="M16" s="37"/>
      <c r="N16" s="37" t="s">
        <v>30</v>
      </c>
      <c r="O16" s="37"/>
      <c r="P16" s="39" t="s">
        <v>39</v>
      </c>
      <c r="Q16" s="39">
        <v>44660.68141203704</v>
      </c>
      <c r="R16" s="37" t="s">
        <v>39</v>
      </c>
      <c r="S16" s="39">
        <v>44660.68141203704</v>
      </c>
    </row>
    <row r="17" spans="1:19" ht="105.6" hidden="1">
      <c r="A17" s="40">
        <v>8</v>
      </c>
      <c r="B17" s="35" t="s">
        <v>37</v>
      </c>
      <c r="C17" s="35" t="s">
        <v>72</v>
      </c>
      <c r="D17" s="36" t="s">
        <v>8</v>
      </c>
      <c r="E17" s="36" t="s">
        <v>23</v>
      </c>
      <c r="F17" s="41"/>
      <c r="G17" s="36" t="s">
        <v>77</v>
      </c>
      <c r="H17" s="36" t="s">
        <v>59</v>
      </c>
      <c r="I17" s="36" t="s">
        <v>74</v>
      </c>
      <c r="J17" s="36" t="s">
        <v>495</v>
      </c>
      <c r="K17" s="36" t="s">
        <v>71</v>
      </c>
      <c r="L17" s="36" t="s">
        <v>71</v>
      </c>
      <c r="M17" s="37"/>
      <c r="N17" s="37" t="s">
        <v>30</v>
      </c>
      <c r="O17" s="37"/>
      <c r="P17" s="39" t="s">
        <v>39</v>
      </c>
      <c r="Q17" s="39">
        <v>44660.687199074076</v>
      </c>
      <c r="R17" s="37" t="s">
        <v>39</v>
      </c>
      <c r="S17" s="39">
        <v>44660.687199074076</v>
      </c>
    </row>
    <row r="18" spans="1:19" ht="105.6" hidden="1">
      <c r="A18" s="40">
        <v>9</v>
      </c>
      <c r="B18" s="35" t="s">
        <v>37</v>
      </c>
      <c r="C18" s="35" t="s">
        <v>73</v>
      </c>
      <c r="D18" s="36" t="s">
        <v>8</v>
      </c>
      <c r="E18" s="36" t="s">
        <v>23</v>
      </c>
      <c r="F18" s="41"/>
      <c r="G18" s="36" t="s">
        <v>78</v>
      </c>
      <c r="H18" s="36" t="s">
        <v>59</v>
      </c>
      <c r="I18" s="36" t="s">
        <v>75</v>
      </c>
      <c r="J18" s="36" t="s">
        <v>496</v>
      </c>
      <c r="K18" s="36" t="s">
        <v>71</v>
      </c>
      <c r="L18" s="36" t="s">
        <v>71</v>
      </c>
      <c r="M18" s="37"/>
      <c r="N18" s="37" t="s">
        <v>30</v>
      </c>
      <c r="O18" s="37"/>
      <c r="P18" s="39" t="s">
        <v>39</v>
      </c>
      <c r="Q18" s="39">
        <v>44660.68917824074</v>
      </c>
      <c r="R18" s="37" t="s">
        <v>39</v>
      </c>
      <c r="S18" s="39">
        <v>44660.68917824074</v>
      </c>
    </row>
    <row r="19" spans="1:19" ht="92.4" hidden="1">
      <c r="A19" s="40">
        <v>10</v>
      </c>
      <c r="B19" s="35" t="s">
        <v>37</v>
      </c>
      <c r="C19" s="35" t="s">
        <v>79</v>
      </c>
      <c r="D19" s="36" t="s">
        <v>8</v>
      </c>
      <c r="E19" s="36" t="s">
        <v>23</v>
      </c>
      <c r="F19" s="41"/>
      <c r="G19" s="36" t="s">
        <v>80</v>
      </c>
      <c r="H19" s="36" t="s">
        <v>59</v>
      </c>
      <c r="I19" s="36" t="s">
        <v>81</v>
      </c>
      <c r="J19" s="36" t="s">
        <v>497</v>
      </c>
      <c r="K19" s="36" t="s">
        <v>71</v>
      </c>
      <c r="L19" s="36" t="s">
        <v>71</v>
      </c>
      <c r="M19" s="37"/>
      <c r="N19" s="37" t="s">
        <v>30</v>
      </c>
      <c r="O19" s="37"/>
      <c r="P19" s="39" t="s">
        <v>39</v>
      </c>
      <c r="Q19" s="39">
        <v>44660.695289351854</v>
      </c>
      <c r="R19" s="37" t="s">
        <v>39</v>
      </c>
      <c r="S19" s="39">
        <v>44660.695289351854</v>
      </c>
    </row>
    <row r="20" spans="1:19" ht="92.4" hidden="1">
      <c r="A20" s="40">
        <v>11</v>
      </c>
      <c r="B20" s="35" t="s">
        <v>37</v>
      </c>
      <c r="C20" s="35" t="s">
        <v>82</v>
      </c>
      <c r="D20" s="36" t="s">
        <v>8</v>
      </c>
      <c r="E20" s="36" t="s">
        <v>23</v>
      </c>
      <c r="F20" s="41"/>
      <c r="G20" s="36" t="s">
        <v>83</v>
      </c>
      <c r="H20" s="36" t="s">
        <v>59</v>
      </c>
      <c r="I20" s="36" t="s">
        <v>84</v>
      </c>
      <c r="J20" s="36" t="s">
        <v>498</v>
      </c>
      <c r="K20" s="36" t="s">
        <v>71</v>
      </c>
      <c r="L20" s="36" t="s">
        <v>71</v>
      </c>
      <c r="M20" s="37"/>
      <c r="N20" s="37" t="s">
        <v>30</v>
      </c>
      <c r="O20" s="37"/>
      <c r="P20" s="39" t="s">
        <v>39</v>
      </c>
      <c r="Q20" s="39">
        <v>44660.69740740741</v>
      </c>
      <c r="R20" s="37" t="s">
        <v>39</v>
      </c>
      <c r="S20" s="39">
        <v>44660.69740740741</v>
      </c>
    </row>
    <row r="21" spans="1:19" ht="92.4" hidden="1">
      <c r="A21" s="40">
        <v>12</v>
      </c>
      <c r="B21" s="35" t="s">
        <v>37</v>
      </c>
      <c r="C21" s="35" t="s">
        <v>85</v>
      </c>
      <c r="D21" s="36" t="s">
        <v>8</v>
      </c>
      <c r="E21" s="36" t="s">
        <v>23</v>
      </c>
      <c r="F21" s="41"/>
      <c r="G21" s="36" t="s">
        <v>86</v>
      </c>
      <c r="H21" s="36" t="s">
        <v>59</v>
      </c>
      <c r="I21" s="36" t="s">
        <v>87</v>
      </c>
      <c r="J21" s="36" t="s">
        <v>499</v>
      </c>
      <c r="K21" s="36" t="s">
        <v>71</v>
      </c>
      <c r="L21" s="36" t="s">
        <v>71</v>
      </c>
      <c r="M21" s="37"/>
      <c r="N21" s="37" t="s">
        <v>30</v>
      </c>
      <c r="O21" s="37"/>
      <c r="P21" s="39" t="s">
        <v>39</v>
      </c>
      <c r="Q21" s="39">
        <v>44660.699097222219</v>
      </c>
      <c r="R21" s="37" t="s">
        <v>39</v>
      </c>
      <c r="S21" s="39">
        <v>44660.699097222219</v>
      </c>
    </row>
    <row r="22" spans="1:19" ht="118.8" hidden="1">
      <c r="A22" s="40">
        <v>13</v>
      </c>
      <c r="B22" s="35" t="s">
        <v>37</v>
      </c>
      <c r="C22" s="35" t="s">
        <v>88</v>
      </c>
      <c r="D22" s="36" t="s">
        <v>12</v>
      </c>
      <c r="E22" s="36" t="s">
        <v>23</v>
      </c>
      <c r="F22" s="41"/>
      <c r="G22" s="36" t="s">
        <v>92</v>
      </c>
      <c r="H22" s="36" t="s">
        <v>59</v>
      </c>
      <c r="I22" s="36" t="s">
        <v>90</v>
      </c>
      <c r="J22" s="36" t="s">
        <v>490</v>
      </c>
      <c r="K22" s="36" t="s">
        <v>91</v>
      </c>
      <c r="L22" s="36" t="s">
        <v>91</v>
      </c>
      <c r="M22" s="37"/>
      <c r="N22" s="37" t="s">
        <v>30</v>
      </c>
      <c r="O22" s="37"/>
      <c r="P22" s="39" t="s">
        <v>39</v>
      </c>
      <c r="Q22" s="39">
        <v>44660.729733796295</v>
      </c>
      <c r="R22" s="37" t="s">
        <v>39</v>
      </c>
      <c r="S22" s="39">
        <v>44660.735289351855</v>
      </c>
    </row>
    <row r="23" spans="1:19" ht="118.8" hidden="1">
      <c r="A23" s="40">
        <v>14</v>
      </c>
      <c r="B23" s="35" t="s">
        <v>37</v>
      </c>
      <c r="C23" s="35" t="s">
        <v>88</v>
      </c>
      <c r="D23" s="36" t="s">
        <v>12</v>
      </c>
      <c r="E23" s="36" t="s">
        <v>23</v>
      </c>
      <c r="F23" s="41"/>
      <c r="G23" s="36" t="s">
        <v>93</v>
      </c>
      <c r="H23" s="36" t="s">
        <v>59</v>
      </c>
      <c r="I23" s="36" t="s">
        <v>89</v>
      </c>
      <c r="J23" s="36" t="s">
        <v>490</v>
      </c>
      <c r="K23" s="36" t="s">
        <v>91</v>
      </c>
      <c r="L23" s="36" t="s">
        <v>91</v>
      </c>
      <c r="M23" s="37"/>
      <c r="N23" s="37" t="s">
        <v>30</v>
      </c>
      <c r="O23" s="37"/>
      <c r="P23" s="39" t="s">
        <v>39</v>
      </c>
      <c r="Q23" s="39">
        <v>44660.735011574077</v>
      </c>
      <c r="R23" s="37" t="s">
        <v>39</v>
      </c>
      <c r="S23" s="39">
        <v>44660.736400462964</v>
      </c>
    </row>
    <row r="24" spans="1:19" ht="118.8" hidden="1">
      <c r="A24" s="40">
        <v>15</v>
      </c>
      <c r="B24" s="35" t="s">
        <v>37</v>
      </c>
      <c r="C24" s="35" t="s">
        <v>94</v>
      </c>
      <c r="D24" s="36" t="s">
        <v>12</v>
      </c>
      <c r="E24" s="36" t="s">
        <v>23</v>
      </c>
      <c r="F24" s="41"/>
      <c r="G24" s="36" t="s">
        <v>95</v>
      </c>
      <c r="H24" s="36" t="s">
        <v>59</v>
      </c>
      <c r="I24" s="36" t="s">
        <v>96</v>
      </c>
      <c r="J24" s="36" t="s">
        <v>490</v>
      </c>
      <c r="K24" s="36" t="s">
        <v>91</v>
      </c>
      <c r="L24" s="36" t="s">
        <v>91</v>
      </c>
      <c r="M24" s="37"/>
      <c r="N24" s="37" t="s">
        <v>30</v>
      </c>
      <c r="O24" s="37"/>
      <c r="P24" s="39" t="s">
        <v>39</v>
      </c>
      <c r="Q24" s="39">
        <v>44660.736388888887</v>
      </c>
      <c r="R24" s="37" t="s">
        <v>39</v>
      </c>
      <c r="S24" s="39">
        <v>44660.73777777778</v>
      </c>
    </row>
    <row r="25" spans="1:19" ht="118.8" hidden="1">
      <c r="A25" s="40">
        <v>16</v>
      </c>
      <c r="B25" s="35" t="s">
        <v>37</v>
      </c>
      <c r="C25" s="35" t="s">
        <v>97</v>
      </c>
      <c r="D25" s="36" t="s">
        <v>12</v>
      </c>
      <c r="E25" s="36" t="s">
        <v>23</v>
      </c>
      <c r="F25" s="41"/>
      <c r="G25" s="36" t="s">
        <v>98</v>
      </c>
      <c r="H25" s="36" t="s">
        <v>59</v>
      </c>
      <c r="I25" s="36" t="s">
        <v>99</v>
      </c>
      <c r="J25" s="36" t="s">
        <v>490</v>
      </c>
      <c r="K25" s="36" t="s">
        <v>91</v>
      </c>
      <c r="L25" s="36" t="s">
        <v>91</v>
      </c>
      <c r="M25" s="37"/>
      <c r="N25" s="37" t="s">
        <v>30</v>
      </c>
      <c r="O25" s="37"/>
      <c r="P25" s="39" t="s">
        <v>39</v>
      </c>
      <c r="Q25" s="39">
        <v>44660.744050925925</v>
      </c>
      <c r="R25" s="37" t="s">
        <v>39</v>
      </c>
      <c r="S25" s="39">
        <v>44660.744745370372</v>
      </c>
    </row>
    <row r="26" spans="1:19" ht="118.8" hidden="1">
      <c r="A26" s="40">
        <v>17</v>
      </c>
      <c r="B26" s="35" t="s">
        <v>37</v>
      </c>
      <c r="C26" s="35" t="s">
        <v>100</v>
      </c>
      <c r="D26" s="36" t="s">
        <v>12</v>
      </c>
      <c r="E26" s="36" t="s">
        <v>23</v>
      </c>
      <c r="F26" s="41"/>
      <c r="G26" s="36" t="s">
        <v>101</v>
      </c>
      <c r="H26" s="36" t="s">
        <v>59</v>
      </c>
      <c r="I26" s="36" t="s">
        <v>102</v>
      </c>
      <c r="J26" s="36" t="s">
        <v>490</v>
      </c>
      <c r="K26" s="36" t="s">
        <v>91</v>
      </c>
      <c r="L26" s="36" t="s">
        <v>91</v>
      </c>
      <c r="M26" s="37"/>
      <c r="N26" s="37" t="s">
        <v>30</v>
      </c>
      <c r="O26" s="37"/>
      <c r="P26" s="39" t="s">
        <v>39</v>
      </c>
      <c r="Q26" s="39">
        <v>44660.745092592595</v>
      </c>
      <c r="R26" s="37" t="s">
        <v>39</v>
      </c>
      <c r="S26" s="39">
        <v>44660.746481481481</v>
      </c>
    </row>
    <row r="27" spans="1:19" ht="118.8" hidden="1">
      <c r="A27" s="40">
        <v>18</v>
      </c>
      <c r="B27" s="35" t="s">
        <v>37</v>
      </c>
      <c r="C27" s="35" t="s">
        <v>105</v>
      </c>
      <c r="D27" s="36" t="s">
        <v>12</v>
      </c>
      <c r="E27" s="36" t="s">
        <v>23</v>
      </c>
      <c r="F27" s="41"/>
      <c r="G27" s="36" t="s">
        <v>103</v>
      </c>
      <c r="H27" s="36" t="s">
        <v>59</v>
      </c>
      <c r="I27" s="36" t="s">
        <v>104</v>
      </c>
      <c r="J27" s="36" t="s">
        <v>490</v>
      </c>
      <c r="K27" s="36" t="s">
        <v>91</v>
      </c>
      <c r="L27" s="36" t="s">
        <v>91</v>
      </c>
      <c r="M27" s="37"/>
      <c r="N27" s="37" t="s">
        <v>30</v>
      </c>
      <c r="O27" s="37"/>
      <c r="P27" s="39" t="s">
        <v>39</v>
      </c>
      <c r="Q27" s="39">
        <v>44660.746157407404</v>
      </c>
      <c r="R27" s="37" t="s">
        <v>39</v>
      </c>
      <c r="S27" s="39">
        <v>44660.746157407404</v>
      </c>
    </row>
    <row r="28" spans="1:19" ht="118.8" hidden="1">
      <c r="A28" s="40">
        <v>19</v>
      </c>
      <c r="B28" s="35" t="s">
        <v>37</v>
      </c>
      <c r="C28" s="35" t="s">
        <v>106</v>
      </c>
      <c r="D28" s="36" t="s">
        <v>12</v>
      </c>
      <c r="E28" s="36" t="s">
        <v>23</v>
      </c>
      <c r="F28" s="41"/>
      <c r="G28" s="36" t="s">
        <v>107</v>
      </c>
      <c r="H28" s="36" t="s">
        <v>59</v>
      </c>
      <c r="I28" s="36" t="s">
        <v>108</v>
      </c>
      <c r="J28" s="36" t="s">
        <v>490</v>
      </c>
      <c r="K28" s="36" t="s">
        <v>91</v>
      </c>
      <c r="L28" s="36" t="s">
        <v>91</v>
      </c>
      <c r="M28" s="37"/>
      <c r="N28" s="37" t="s">
        <v>30</v>
      </c>
      <c r="O28" s="37"/>
      <c r="P28" s="39" t="s">
        <v>39</v>
      </c>
      <c r="Q28" s="39">
        <v>44660.747766203705</v>
      </c>
      <c r="R28" s="37" t="s">
        <v>39</v>
      </c>
      <c r="S28" s="39">
        <v>44660.747766203705</v>
      </c>
    </row>
    <row r="29" spans="1:19" ht="118.8" hidden="1">
      <c r="A29" s="40">
        <v>20</v>
      </c>
      <c r="B29" s="35" t="s">
        <v>37</v>
      </c>
      <c r="C29" s="35" t="s">
        <v>109</v>
      </c>
      <c r="D29" s="36" t="s">
        <v>12</v>
      </c>
      <c r="E29" s="36" t="s">
        <v>24</v>
      </c>
      <c r="F29" s="41"/>
      <c r="G29" s="36" t="s">
        <v>502</v>
      </c>
      <c r="H29" s="36" t="s">
        <v>59</v>
      </c>
      <c r="I29" s="36" t="s">
        <v>503</v>
      </c>
      <c r="J29" s="36" t="s">
        <v>490</v>
      </c>
      <c r="K29" s="36" t="s">
        <v>110</v>
      </c>
      <c r="L29" s="36" t="s">
        <v>58</v>
      </c>
      <c r="M29" s="42" t="s">
        <v>114</v>
      </c>
      <c r="N29" s="37" t="s">
        <v>30</v>
      </c>
      <c r="O29" s="37"/>
      <c r="P29" s="39" t="s">
        <v>39</v>
      </c>
      <c r="Q29" s="39">
        <v>44661.478692129633</v>
      </c>
      <c r="R29" s="37" t="s">
        <v>39</v>
      </c>
      <c r="S29" s="39">
        <v>44661.487025462964</v>
      </c>
    </row>
    <row r="30" spans="1:19" ht="118.8" hidden="1">
      <c r="A30" s="40">
        <v>21</v>
      </c>
      <c r="B30" s="35" t="s">
        <v>37</v>
      </c>
      <c r="C30" s="35" t="s">
        <v>111</v>
      </c>
      <c r="D30" s="36" t="s">
        <v>12</v>
      </c>
      <c r="E30" s="36" t="s">
        <v>24</v>
      </c>
      <c r="F30" s="41"/>
      <c r="G30" s="36" t="s">
        <v>112</v>
      </c>
      <c r="H30" s="36" t="s">
        <v>59</v>
      </c>
      <c r="I30" s="36" t="s">
        <v>113</v>
      </c>
      <c r="J30" s="36" t="s">
        <v>490</v>
      </c>
      <c r="K30" s="36" t="s">
        <v>110</v>
      </c>
      <c r="L30" s="36" t="s">
        <v>58</v>
      </c>
      <c r="M30" s="42" t="s">
        <v>114</v>
      </c>
      <c r="N30" s="37" t="s">
        <v>30</v>
      </c>
      <c r="O30" s="37"/>
      <c r="P30" s="39" t="s">
        <v>39</v>
      </c>
      <c r="Q30" s="39">
        <v>44661.487129629626</v>
      </c>
      <c r="R30" s="37" t="s">
        <v>39</v>
      </c>
      <c r="S30" s="39">
        <v>44661.487129629626</v>
      </c>
    </row>
    <row r="31" spans="1:19" ht="79.2" hidden="1">
      <c r="A31" s="40">
        <v>22</v>
      </c>
      <c r="B31" s="35" t="s">
        <v>37</v>
      </c>
      <c r="C31" s="35" t="s">
        <v>117</v>
      </c>
      <c r="D31" s="36" t="s">
        <v>12</v>
      </c>
      <c r="E31" s="36" t="s">
        <v>23</v>
      </c>
      <c r="F31" s="41"/>
      <c r="G31" s="36" t="s">
        <v>115</v>
      </c>
      <c r="H31" s="36" t="s">
        <v>59</v>
      </c>
      <c r="I31" s="36" t="s">
        <v>116</v>
      </c>
      <c r="J31" s="36" t="s">
        <v>500</v>
      </c>
      <c r="K31" s="36" t="s">
        <v>71</v>
      </c>
      <c r="L31" s="36" t="s">
        <v>71</v>
      </c>
      <c r="M31" s="37"/>
      <c r="N31" s="37" t="s">
        <v>30</v>
      </c>
      <c r="O31" s="37"/>
      <c r="P31" s="39" t="s">
        <v>39</v>
      </c>
      <c r="Q31" s="39">
        <v>44661.490787037037</v>
      </c>
      <c r="R31" s="37" t="s">
        <v>39</v>
      </c>
      <c r="S31" s="39">
        <v>44661.490787037037</v>
      </c>
    </row>
    <row r="32" spans="1:19" ht="132" hidden="1">
      <c r="A32" s="40">
        <v>23</v>
      </c>
      <c r="B32" s="35" t="s">
        <v>37</v>
      </c>
      <c r="C32" s="35" t="s">
        <v>118</v>
      </c>
      <c r="D32" s="36" t="s">
        <v>12</v>
      </c>
      <c r="E32" s="36" t="s">
        <v>24</v>
      </c>
      <c r="F32" s="41"/>
      <c r="G32" s="36" t="s">
        <v>119</v>
      </c>
      <c r="H32" s="36" t="s">
        <v>59</v>
      </c>
      <c r="I32" s="36" t="s">
        <v>120</v>
      </c>
      <c r="J32" s="36" t="s">
        <v>490</v>
      </c>
      <c r="K32" s="36" t="s">
        <v>110</v>
      </c>
      <c r="L32" s="36" t="s">
        <v>58</v>
      </c>
      <c r="M32" s="42" t="s">
        <v>121</v>
      </c>
      <c r="N32" s="37" t="s">
        <v>30</v>
      </c>
      <c r="O32" s="37"/>
      <c r="P32" s="39" t="s">
        <v>39</v>
      </c>
      <c r="Q32" s="39">
        <v>44661.490787037037</v>
      </c>
      <c r="R32" s="37" t="s">
        <v>39</v>
      </c>
      <c r="S32" s="39">
        <v>44661.490787037037</v>
      </c>
    </row>
    <row r="33" spans="1:19" ht="39.6">
      <c r="A33" s="40">
        <v>24</v>
      </c>
      <c r="B33" s="35" t="s">
        <v>38</v>
      </c>
      <c r="C33" s="35" t="s">
        <v>123</v>
      </c>
      <c r="D33" s="36" t="s">
        <v>8</v>
      </c>
      <c r="E33" s="36" t="s">
        <v>23</v>
      </c>
      <c r="F33" s="41"/>
      <c r="G33" s="36" t="s">
        <v>487</v>
      </c>
      <c r="H33" s="36" t="s">
        <v>53</v>
      </c>
      <c r="I33" s="36"/>
      <c r="J33" s="36" t="s">
        <v>552</v>
      </c>
      <c r="K33" s="36" t="s">
        <v>122</v>
      </c>
      <c r="L33" s="36" t="s">
        <v>122</v>
      </c>
      <c r="M33" s="37"/>
      <c r="N33" s="37" t="s">
        <v>31</v>
      </c>
      <c r="O33" s="37"/>
      <c r="P33" s="39" t="s">
        <v>39</v>
      </c>
      <c r="Q33" s="39">
        <v>44661.503796296296</v>
      </c>
      <c r="R33" s="37" t="s">
        <v>39</v>
      </c>
      <c r="S33" s="39">
        <v>44661.503796296296</v>
      </c>
    </row>
    <row r="34" spans="1:19" ht="105.6">
      <c r="A34" s="40">
        <v>25</v>
      </c>
      <c r="B34" s="35" t="s">
        <v>38</v>
      </c>
      <c r="C34" s="35" t="s">
        <v>124</v>
      </c>
      <c r="D34" s="36" t="s">
        <v>8</v>
      </c>
      <c r="E34" s="36" t="s">
        <v>23</v>
      </c>
      <c r="F34" s="41"/>
      <c r="G34" s="36" t="s">
        <v>561</v>
      </c>
      <c r="H34" s="36" t="s">
        <v>125</v>
      </c>
      <c r="I34" s="36" t="s">
        <v>140</v>
      </c>
      <c r="J34" s="36" t="s">
        <v>553</v>
      </c>
      <c r="K34" s="36" t="s">
        <v>126</v>
      </c>
      <c r="L34" s="36" t="s">
        <v>126</v>
      </c>
      <c r="M34" s="42" t="s">
        <v>127</v>
      </c>
      <c r="N34" s="37" t="s">
        <v>31</v>
      </c>
      <c r="O34" s="37"/>
      <c r="P34" s="39" t="s">
        <v>39</v>
      </c>
      <c r="Q34" s="39">
        <v>44661.505729166667</v>
      </c>
      <c r="R34" s="37" t="s">
        <v>39</v>
      </c>
      <c r="S34" s="39">
        <v>44661.505729166667</v>
      </c>
    </row>
    <row r="35" spans="1:19" ht="66">
      <c r="A35" s="40">
        <v>26</v>
      </c>
      <c r="B35" s="35" t="s">
        <v>38</v>
      </c>
      <c r="C35" s="35" t="s">
        <v>132</v>
      </c>
      <c r="D35" s="36" t="s">
        <v>12</v>
      </c>
      <c r="E35" s="36" t="s">
        <v>23</v>
      </c>
      <c r="F35" s="41"/>
      <c r="G35" s="36" t="s">
        <v>129</v>
      </c>
      <c r="H35" s="36" t="s">
        <v>125</v>
      </c>
      <c r="I35" s="36" t="s">
        <v>131</v>
      </c>
      <c r="J35" s="36" t="s">
        <v>554</v>
      </c>
      <c r="K35" s="36" t="s">
        <v>128</v>
      </c>
      <c r="L35" s="36" t="s">
        <v>128</v>
      </c>
      <c r="M35" s="37"/>
      <c r="N35" s="37" t="s">
        <v>31</v>
      </c>
      <c r="O35" s="37"/>
      <c r="P35" s="39" t="s">
        <v>39</v>
      </c>
      <c r="Q35" s="39">
        <v>44661.505729166667</v>
      </c>
      <c r="R35" s="37" t="s">
        <v>39</v>
      </c>
      <c r="S35" s="39">
        <v>44661.505729166667</v>
      </c>
    </row>
    <row r="36" spans="1:19" ht="92.4">
      <c r="A36" s="40">
        <v>27</v>
      </c>
      <c r="B36" s="35" t="s">
        <v>38</v>
      </c>
      <c r="C36" s="35" t="s">
        <v>133</v>
      </c>
      <c r="D36" s="36" t="s">
        <v>12</v>
      </c>
      <c r="E36" s="36" t="s">
        <v>24</v>
      </c>
      <c r="F36" s="41"/>
      <c r="G36" s="36" t="s">
        <v>130</v>
      </c>
      <c r="H36" s="36" t="s">
        <v>125</v>
      </c>
      <c r="I36" s="36" t="s">
        <v>536</v>
      </c>
      <c r="J36" s="36" t="s">
        <v>555</v>
      </c>
      <c r="K36" s="36" t="s">
        <v>128</v>
      </c>
      <c r="L36" s="36" t="s">
        <v>126</v>
      </c>
      <c r="M36" s="42" t="s">
        <v>544</v>
      </c>
      <c r="N36" s="37" t="s">
        <v>31</v>
      </c>
      <c r="O36" s="37"/>
      <c r="P36" s="39" t="s">
        <v>39</v>
      </c>
      <c r="Q36" s="39">
        <v>44661.553101851852</v>
      </c>
      <c r="R36" s="37" t="s">
        <v>39</v>
      </c>
      <c r="S36" s="39">
        <v>44661.553101851852</v>
      </c>
    </row>
    <row r="37" spans="1:19" ht="92.4">
      <c r="A37" s="40">
        <v>28</v>
      </c>
      <c r="B37" s="35" t="s">
        <v>38</v>
      </c>
      <c r="C37" s="35" t="s">
        <v>134</v>
      </c>
      <c r="D37" s="36" t="s">
        <v>12</v>
      </c>
      <c r="E37" s="36" t="s">
        <v>24</v>
      </c>
      <c r="F37" s="41"/>
      <c r="G37" s="36" t="s">
        <v>135</v>
      </c>
      <c r="H37" s="36" t="s">
        <v>125</v>
      </c>
      <c r="I37" s="36" t="s">
        <v>537</v>
      </c>
      <c r="J37" s="36" t="s">
        <v>556</v>
      </c>
      <c r="K37" s="36" t="s">
        <v>128</v>
      </c>
      <c r="L37" s="36" t="s">
        <v>126</v>
      </c>
      <c r="M37" s="42" t="s">
        <v>543</v>
      </c>
      <c r="N37" s="37" t="s">
        <v>31</v>
      </c>
      <c r="O37" s="37"/>
      <c r="P37" s="39" t="s">
        <v>39</v>
      </c>
      <c r="Q37" s="39">
        <v>44661.55672453704</v>
      </c>
      <c r="R37" s="37" t="s">
        <v>39</v>
      </c>
      <c r="S37" s="39">
        <v>44661.55672453704</v>
      </c>
    </row>
    <row r="38" spans="1:19" ht="92.4">
      <c r="A38" s="40">
        <v>29</v>
      </c>
      <c r="B38" s="35" t="s">
        <v>38</v>
      </c>
      <c r="C38" s="35" t="s">
        <v>136</v>
      </c>
      <c r="D38" s="36" t="s">
        <v>12</v>
      </c>
      <c r="E38" s="36" t="s">
        <v>24</v>
      </c>
      <c r="F38" s="41"/>
      <c r="G38" s="36" t="s">
        <v>137</v>
      </c>
      <c r="H38" s="36" t="s">
        <v>125</v>
      </c>
      <c r="I38" s="36" t="s">
        <v>538</v>
      </c>
      <c r="J38" s="36" t="s">
        <v>557</v>
      </c>
      <c r="K38" s="36" t="s">
        <v>128</v>
      </c>
      <c r="L38" s="36" t="s">
        <v>126</v>
      </c>
      <c r="M38" s="42" t="s">
        <v>542</v>
      </c>
      <c r="N38" s="37" t="s">
        <v>31</v>
      </c>
      <c r="O38" s="37"/>
      <c r="P38" s="39" t="s">
        <v>39</v>
      </c>
      <c r="Q38" s="39">
        <v>44661.558032407411</v>
      </c>
      <c r="R38" s="37" t="s">
        <v>39</v>
      </c>
      <c r="S38" s="39">
        <v>44661.558032407411</v>
      </c>
    </row>
    <row r="39" spans="1:19" ht="105.6">
      <c r="A39" s="40">
        <v>30</v>
      </c>
      <c r="B39" s="35" t="s">
        <v>38</v>
      </c>
      <c r="C39" s="35" t="s">
        <v>138</v>
      </c>
      <c r="D39" s="36" t="s">
        <v>12</v>
      </c>
      <c r="E39" s="36" t="s">
        <v>23</v>
      </c>
      <c r="F39" s="41"/>
      <c r="G39" s="36" t="s">
        <v>141</v>
      </c>
      <c r="H39" s="36" t="s">
        <v>125</v>
      </c>
      <c r="I39" s="36" t="s">
        <v>139</v>
      </c>
      <c r="J39" s="36" t="s">
        <v>558</v>
      </c>
      <c r="K39" s="36" t="s">
        <v>128</v>
      </c>
      <c r="L39" s="36" t="s">
        <v>128</v>
      </c>
      <c r="M39" s="37"/>
      <c r="N39" s="37" t="s">
        <v>31</v>
      </c>
      <c r="O39" s="37"/>
      <c r="P39" s="39" t="s">
        <v>39</v>
      </c>
      <c r="Q39" s="39">
        <v>44661.558032407411</v>
      </c>
      <c r="R39" s="37" t="s">
        <v>39</v>
      </c>
      <c r="S39" s="39">
        <v>44661.558032407411</v>
      </c>
    </row>
    <row r="40" spans="1:19" ht="105.6">
      <c r="A40" s="40">
        <v>31</v>
      </c>
      <c r="B40" s="35" t="s">
        <v>38</v>
      </c>
      <c r="C40" s="35" t="s">
        <v>144</v>
      </c>
      <c r="D40" s="36" t="s">
        <v>12</v>
      </c>
      <c r="E40" s="36" t="s">
        <v>23</v>
      </c>
      <c r="F40" s="41"/>
      <c r="G40" s="36" t="s">
        <v>142</v>
      </c>
      <c r="H40" s="36" t="s">
        <v>125</v>
      </c>
      <c r="I40" s="36" t="s">
        <v>143</v>
      </c>
      <c r="J40" s="36" t="s">
        <v>558</v>
      </c>
      <c r="K40" s="36" t="s">
        <v>128</v>
      </c>
      <c r="L40" s="36" t="s">
        <v>128</v>
      </c>
      <c r="M40" s="37"/>
      <c r="N40" s="37" t="s">
        <v>31</v>
      </c>
      <c r="O40" s="37"/>
      <c r="P40" s="39" t="s">
        <v>39</v>
      </c>
      <c r="Q40" s="39">
        <v>44661.567083333335</v>
      </c>
      <c r="R40" s="37" t="s">
        <v>39</v>
      </c>
      <c r="S40" s="39">
        <v>44661.567083333335</v>
      </c>
    </row>
    <row r="41" spans="1:19" ht="66">
      <c r="A41" s="40">
        <v>32</v>
      </c>
      <c r="B41" s="35" t="s">
        <v>38</v>
      </c>
      <c r="C41" s="35" t="s">
        <v>145</v>
      </c>
      <c r="D41" s="36" t="s">
        <v>12</v>
      </c>
      <c r="E41" s="36" t="s">
        <v>23</v>
      </c>
      <c r="F41" s="41"/>
      <c r="G41" s="36" t="s">
        <v>146</v>
      </c>
      <c r="H41" s="36" t="s">
        <v>125</v>
      </c>
      <c r="I41" s="36" t="s">
        <v>528</v>
      </c>
      <c r="J41" s="36" t="s">
        <v>559</v>
      </c>
      <c r="K41" s="36" t="s">
        <v>527</v>
      </c>
      <c r="L41" s="36" t="s">
        <v>126</v>
      </c>
      <c r="M41" s="37"/>
      <c r="N41" s="37" t="s">
        <v>31</v>
      </c>
      <c r="O41" s="37"/>
      <c r="P41" s="39" t="s">
        <v>39</v>
      </c>
      <c r="Q41" s="39">
        <v>44661.614074074074</v>
      </c>
      <c r="R41" s="37" t="s">
        <v>39</v>
      </c>
      <c r="S41" s="39">
        <v>44661.614074074074</v>
      </c>
    </row>
    <row r="42" spans="1:19" ht="66">
      <c r="A42" s="40">
        <v>34</v>
      </c>
      <c r="B42" s="35" t="s">
        <v>38</v>
      </c>
      <c r="C42" s="35" t="s">
        <v>147</v>
      </c>
      <c r="D42" s="36" t="s">
        <v>12</v>
      </c>
      <c r="E42" s="36" t="s">
        <v>23</v>
      </c>
      <c r="F42" s="41"/>
      <c r="G42" s="36" t="s">
        <v>520</v>
      </c>
      <c r="H42" s="36" t="s">
        <v>125</v>
      </c>
      <c r="I42" s="36" t="s">
        <v>521</v>
      </c>
      <c r="J42" s="36" t="s">
        <v>554</v>
      </c>
      <c r="K42" s="36" t="s">
        <v>128</v>
      </c>
      <c r="L42" s="36" t="s">
        <v>128</v>
      </c>
      <c r="M42" s="37"/>
      <c r="N42" s="37" t="s">
        <v>31</v>
      </c>
      <c r="O42" s="37"/>
      <c r="P42" s="39" t="s">
        <v>39</v>
      </c>
      <c r="Q42" s="39">
        <v>44661.635520833333</v>
      </c>
      <c r="R42" s="37" t="s">
        <v>39</v>
      </c>
      <c r="S42" s="39">
        <v>44661.635520833333</v>
      </c>
    </row>
    <row r="43" spans="1:19" ht="79.2">
      <c r="A43" s="40">
        <v>35</v>
      </c>
      <c r="B43" s="35" t="s">
        <v>38</v>
      </c>
      <c r="C43" s="35" t="s">
        <v>148</v>
      </c>
      <c r="D43" s="36" t="s">
        <v>12</v>
      </c>
      <c r="E43" s="36" t="s">
        <v>24</v>
      </c>
      <c r="F43" s="41"/>
      <c r="G43" s="36" t="s">
        <v>522</v>
      </c>
      <c r="H43" s="36" t="s">
        <v>125</v>
      </c>
      <c r="I43" s="36" t="s">
        <v>533</v>
      </c>
      <c r="J43" s="36" t="s">
        <v>555</v>
      </c>
      <c r="K43" s="36" t="s">
        <v>128</v>
      </c>
      <c r="L43" s="36" t="s">
        <v>126</v>
      </c>
      <c r="M43" s="42" t="s">
        <v>539</v>
      </c>
      <c r="N43" s="37" t="s">
        <v>31</v>
      </c>
      <c r="O43" s="37"/>
      <c r="P43" s="39" t="s">
        <v>39</v>
      </c>
      <c r="Q43" s="39">
        <v>44661.63722222222</v>
      </c>
      <c r="R43" s="37" t="s">
        <v>39</v>
      </c>
      <c r="S43" s="39">
        <v>44661.63722222222</v>
      </c>
    </row>
    <row r="44" spans="1:19" ht="79.2">
      <c r="A44" s="40">
        <v>36</v>
      </c>
      <c r="B44" s="35" t="s">
        <v>38</v>
      </c>
      <c r="C44" s="35" t="s">
        <v>149</v>
      </c>
      <c r="D44" s="36" t="s">
        <v>12</v>
      </c>
      <c r="E44" s="36" t="s">
        <v>24</v>
      </c>
      <c r="F44" s="41"/>
      <c r="G44" s="36" t="s">
        <v>523</v>
      </c>
      <c r="H44" s="36" t="s">
        <v>125</v>
      </c>
      <c r="I44" s="36" t="s">
        <v>534</v>
      </c>
      <c r="J44" s="36" t="s">
        <v>556</v>
      </c>
      <c r="K44" s="36" t="s">
        <v>128</v>
      </c>
      <c r="L44" s="36" t="s">
        <v>126</v>
      </c>
      <c r="M44" s="42" t="s">
        <v>540</v>
      </c>
      <c r="N44" s="37" t="s">
        <v>31</v>
      </c>
      <c r="O44" s="37"/>
      <c r="P44" s="39" t="s">
        <v>39</v>
      </c>
      <c r="Q44" s="39">
        <v>44661.63894675926</v>
      </c>
      <c r="R44" s="37" t="s">
        <v>39</v>
      </c>
      <c r="S44" s="39">
        <v>44661.63894675926</v>
      </c>
    </row>
    <row r="45" spans="1:19" ht="79.2">
      <c r="A45" s="40">
        <v>37</v>
      </c>
      <c r="B45" s="35" t="s">
        <v>38</v>
      </c>
      <c r="C45" s="35" t="s">
        <v>150</v>
      </c>
      <c r="D45" s="36" t="s">
        <v>12</v>
      </c>
      <c r="E45" s="36" t="s">
        <v>24</v>
      </c>
      <c r="F45" s="41"/>
      <c r="G45" s="36" t="s">
        <v>524</v>
      </c>
      <c r="H45" s="36" t="s">
        <v>125</v>
      </c>
      <c r="I45" s="36" t="s">
        <v>535</v>
      </c>
      <c r="J45" s="36" t="s">
        <v>560</v>
      </c>
      <c r="K45" s="36" t="s">
        <v>128</v>
      </c>
      <c r="L45" s="36" t="s">
        <v>126</v>
      </c>
      <c r="M45" s="42" t="s">
        <v>541</v>
      </c>
      <c r="N45" s="37" t="s">
        <v>31</v>
      </c>
      <c r="O45" s="37"/>
      <c r="P45" s="39" t="s">
        <v>39</v>
      </c>
      <c r="Q45" s="39">
        <v>44661.640601851854</v>
      </c>
      <c r="R45" s="37" t="s">
        <v>39</v>
      </c>
      <c r="S45" s="39">
        <v>44661.640601851854</v>
      </c>
    </row>
    <row r="46" spans="1:19" ht="39.6" hidden="1">
      <c r="A46" s="40">
        <v>38</v>
      </c>
      <c r="B46" s="35" t="s">
        <v>151</v>
      </c>
      <c r="C46" s="35" t="s">
        <v>153</v>
      </c>
      <c r="D46" s="36" t="s">
        <v>8</v>
      </c>
      <c r="E46" s="36" t="s">
        <v>23</v>
      </c>
      <c r="F46" s="41"/>
      <c r="G46" s="36" t="s">
        <v>154</v>
      </c>
      <c r="H46" s="36" t="s">
        <v>53</v>
      </c>
      <c r="I46" s="36"/>
      <c r="J46" s="36" t="s">
        <v>155</v>
      </c>
      <c r="K46" s="36" t="s">
        <v>156</v>
      </c>
      <c r="L46" s="36" t="s">
        <v>156</v>
      </c>
      <c r="M46" s="37"/>
      <c r="N46" s="37" t="s">
        <v>30</v>
      </c>
      <c r="O46" s="37"/>
      <c r="P46" s="39" t="s">
        <v>39</v>
      </c>
      <c r="Q46" s="39">
        <v>44662.379374999997</v>
      </c>
      <c r="R46" s="37" t="s">
        <v>39</v>
      </c>
      <c r="S46" s="39">
        <v>44662.379374999997</v>
      </c>
    </row>
    <row r="47" spans="1:19" ht="145.19999999999999" hidden="1">
      <c r="A47" s="40">
        <v>39</v>
      </c>
      <c r="B47" s="35" t="s">
        <v>151</v>
      </c>
      <c r="C47" s="35" t="s">
        <v>157</v>
      </c>
      <c r="D47" s="36" t="s">
        <v>8</v>
      </c>
      <c r="E47" s="36" t="s">
        <v>23</v>
      </c>
      <c r="F47" s="41"/>
      <c r="G47" s="36" t="s">
        <v>158</v>
      </c>
      <c r="H47" s="36" t="s">
        <v>159</v>
      </c>
      <c r="I47" s="36" t="s">
        <v>161</v>
      </c>
      <c r="J47" s="36" t="s">
        <v>162</v>
      </c>
      <c r="K47" s="36" t="s">
        <v>160</v>
      </c>
      <c r="L47" s="36" t="s">
        <v>160</v>
      </c>
      <c r="M47" s="37"/>
      <c r="N47" s="37" t="s">
        <v>30</v>
      </c>
      <c r="O47" s="37"/>
      <c r="P47" s="39" t="s">
        <v>39</v>
      </c>
      <c r="Q47" s="39">
        <v>44662.38177083333</v>
      </c>
      <c r="R47" s="37" t="s">
        <v>39</v>
      </c>
      <c r="S47" s="39">
        <v>44662.404687499999</v>
      </c>
    </row>
    <row r="48" spans="1:19" ht="105.6" hidden="1">
      <c r="A48" s="40">
        <v>40</v>
      </c>
      <c r="B48" s="35" t="s">
        <v>151</v>
      </c>
      <c r="C48" s="35" t="s">
        <v>163</v>
      </c>
      <c r="D48" s="36" t="s">
        <v>8</v>
      </c>
      <c r="E48" s="36" t="s">
        <v>23</v>
      </c>
      <c r="F48" s="41"/>
      <c r="G48" s="36" t="s">
        <v>165</v>
      </c>
      <c r="H48" s="36" t="s">
        <v>159</v>
      </c>
      <c r="I48" s="36" t="s">
        <v>180</v>
      </c>
      <c r="J48" s="36" t="s">
        <v>166</v>
      </c>
      <c r="K48" s="36" t="s">
        <v>160</v>
      </c>
      <c r="L48" s="36" t="s">
        <v>160</v>
      </c>
      <c r="M48" s="37"/>
      <c r="N48" s="37" t="s">
        <v>30</v>
      </c>
      <c r="O48" s="37"/>
      <c r="P48" s="39" t="s">
        <v>39</v>
      </c>
      <c r="Q48" s="39">
        <v>44662.406111111108</v>
      </c>
      <c r="R48" s="37" t="s">
        <v>39</v>
      </c>
      <c r="S48" s="39">
        <v>44662.406111111108</v>
      </c>
    </row>
    <row r="49" spans="1:19" ht="118.8" hidden="1">
      <c r="A49" s="40">
        <v>41</v>
      </c>
      <c r="B49" s="35" t="s">
        <v>151</v>
      </c>
      <c r="C49" s="35" t="s">
        <v>164</v>
      </c>
      <c r="D49" s="36" t="s">
        <v>8</v>
      </c>
      <c r="E49" s="36" t="s">
        <v>23</v>
      </c>
      <c r="F49" s="41"/>
      <c r="G49" s="36" t="s">
        <v>168</v>
      </c>
      <c r="H49" s="36" t="s">
        <v>159</v>
      </c>
      <c r="I49" s="36" t="s">
        <v>179</v>
      </c>
      <c r="J49" s="36" t="s">
        <v>167</v>
      </c>
      <c r="K49" s="36" t="s">
        <v>160</v>
      </c>
      <c r="L49" s="36" t="s">
        <v>160</v>
      </c>
      <c r="M49" s="37"/>
      <c r="N49" s="37" t="s">
        <v>30</v>
      </c>
      <c r="O49" s="37"/>
      <c r="P49" s="39" t="s">
        <v>39</v>
      </c>
      <c r="Q49" s="39">
        <v>44662.413831018515</v>
      </c>
      <c r="R49" s="37" t="s">
        <v>39</v>
      </c>
      <c r="S49" s="39">
        <v>44662.413831018515</v>
      </c>
    </row>
    <row r="50" spans="1:19" ht="118.8" hidden="1">
      <c r="A50" s="40">
        <v>42</v>
      </c>
      <c r="B50" s="35" t="s">
        <v>151</v>
      </c>
      <c r="C50" s="35" t="s">
        <v>169</v>
      </c>
      <c r="D50" s="36" t="s">
        <v>8</v>
      </c>
      <c r="E50" s="36" t="s">
        <v>23</v>
      </c>
      <c r="F50" s="41"/>
      <c r="G50" s="36" t="s">
        <v>170</v>
      </c>
      <c r="H50" s="36" t="s">
        <v>159</v>
      </c>
      <c r="I50" s="36" t="s">
        <v>178</v>
      </c>
      <c r="J50" s="36" t="s">
        <v>171</v>
      </c>
      <c r="K50" s="36" t="s">
        <v>160</v>
      </c>
      <c r="L50" s="36" t="s">
        <v>160</v>
      </c>
      <c r="M50" s="37"/>
      <c r="N50" s="37" t="s">
        <v>30</v>
      </c>
      <c r="O50" s="37"/>
      <c r="P50" s="39" t="s">
        <v>39</v>
      </c>
      <c r="Q50" s="39">
        <v>44662.424351851849</v>
      </c>
      <c r="R50" s="37" t="s">
        <v>39</v>
      </c>
      <c r="S50" s="39">
        <v>44662.424351851849</v>
      </c>
    </row>
    <row r="51" spans="1:19" ht="118.8" hidden="1">
      <c r="A51" s="40">
        <v>43</v>
      </c>
      <c r="B51" s="35" t="s">
        <v>151</v>
      </c>
      <c r="C51" s="35" t="s">
        <v>172</v>
      </c>
      <c r="D51" s="36" t="s">
        <v>8</v>
      </c>
      <c r="E51" s="36" t="s">
        <v>23</v>
      </c>
      <c r="F51" s="41"/>
      <c r="G51" s="36" t="s">
        <v>173</v>
      </c>
      <c r="H51" s="36" t="s">
        <v>159</v>
      </c>
      <c r="I51" s="36" t="s">
        <v>177</v>
      </c>
      <c r="J51" s="36" t="s">
        <v>174</v>
      </c>
      <c r="K51" s="36" t="s">
        <v>160</v>
      </c>
      <c r="L51" s="36" t="s">
        <v>160</v>
      </c>
      <c r="M51" s="37"/>
      <c r="N51" s="37" t="s">
        <v>30</v>
      </c>
      <c r="O51" s="37"/>
      <c r="P51" s="39" t="s">
        <v>39</v>
      </c>
      <c r="Q51" s="39">
        <v>44662.428773148145</v>
      </c>
      <c r="R51" s="37" t="s">
        <v>39</v>
      </c>
      <c r="S51" s="39">
        <v>44662.428773148145</v>
      </c>
    </row>
    <row r="52" spans="1:19" ht="105.6" hidden="1">
      <c r="A52" s="40">
        <v>44</v>
      </c>
      <c r="B52" s="35" t="s">
        <v>151</v>
      </c>
      <c r="C52" s="35" t="s">
        <v>175</v>
      </c>
      <c r="D52" s="36" t="s">
        <v>8</v>
      </c>
      <c r="E52" s="36" t="s">
        <v>23</v>
      </c>
      <c r="F52" s="41"/>
      <c r="G52" s="36" t="s">
        <v>176</v>
      </c>
      <c r="H52" s="36" t="s">
        <v>159</v>
      </c>
      <c r="I52" s="36" t="s">
        <v>181</v>
      </c>
      <c r="J52" s="36" t="s">
        <v>186</v>
      </c>
      <c r="K52" s="36" t="s">
        <v>182</v>
      </c>
      <c r="L52" s="36" t="s">
        <v>182</v>
      </c>
      <c r="M52" s="37"/>
      <c r="N52" s="37" t="s">
        <v>30</v>
      </c>
      <c r="O52" s="37"/>
      <c r="P52" s="39" t="s">
        <v>39</v>
      </c>
      <c r="Q52" s="39">
        <v>44662.437997685185</v>
      </c>
      <c r="R52" s="37" t="s">
        <v>39</v>
      </c>
      <c r="S52" s="39">
        <v>44662.437997685185</v>
      </c>
    </row>
    <row r="53" spans="1:19" ht="145.19999999999999" hidden="1">
      <c r="A53" s="40">
        <v>45</v>
      </c>
      <c r="B53" s="35" t="s">
        <v>151</v>
      </c>
      <c r="C53" s="35" t="s">
        <v>183</v>
      </c>
      <c r="D53" s="36" t="s">
        <v>12</v>
      </c>
      <c r="E53" s="36" t="s">
        <v>23</v>
      </c>
      <c r="F53" s="41"/>
      <c r="G53" s="36" t="s">
        <v>184</v>
      </c>
      <c r="H53" s="36" t="s">
        <v>159</v>
      </c>
      <c r="I53" s="36" t="s">
        <v>185</v>
      </c>
      <c r="J53" s="36" t="s">
        <v>162</v>
      </c>
      <c r="K53" s="36" t="s">
        <v>187</v>
      </c>
      <c r="L53" s="36" t="s">
        <v>187</v>
      </c>
      <c r="M53" s="37"/>
      <c r="N53" s="37" t="s">
        <v>30</v>
      </c>
      <c r="O53" s="37"/>
      <c r="P53" s="39" t="s">
        <v>39</v>
      </c>
      <c r="Q53" s="39">
        <v>44662.448854166665</v>
      </c>
      <c r="R53" s="37" t="s">
        <v>39</v>
      </c>
      <c r="S53" s="39">
        <v>44662.448854166665</v>
      </c>
    </row>
    <row r="54" spans="1:19" ht="66" hidden="1">
      <c r="A54" s="40">
        <v>46</v>
      </c>
      <c r="B54" s="35" t="s">
        <v>151</v>
      </c>
      <c r="C54" s="35" t="s">
        <v>188</v>
      </c>
      <c r="D54" s="36" t="s">
        <v>12</v>
      </c>
      <c r="E54" s="36" t="s">
        <v>24</v>
      </c>
      <c r="F54" s="41"/>
      <c r="G54" s="36" t="s">
        <v>479</v>
      </c>
      <c r="H54" s="36" t="s">
        <v>338</v>
      </c>
      <c r="I54" s="36"/>
      <c r="J54" s="36" t="s">
        <v>480</v>
      </c>
      <c r="K54" s="36" t="s">
        <v>481</v>
      </c>
      <c r="L54" s="36" t="s">
        <v>482</v>
      </c>
      <c r="M54" s="42" t="s">
        <v>483</v>
      </c>
      <c r="N54" s="37" t="s">
        <v>31</v>
      </c>
      <c r="O54" s="37"/>
      <c r="P54" s="39" t="s">
        <v>39</v>
      </c>
      <c r="Q54" s="39">
        <v>44662.459780092591</v>
      </c>
      <c r="R54" s="37" t="s">
        <v>39</v>
      </c>
      <c r="S54" s="39">
        <v>44662.459780092591</v>
      </c>
    </row>
    <row r="55" spans="1:19" ht="145.19999999999999" hidden="1">
      <c r="A55" s="40">
        <v>47</v>
      </c>
      <c r="B55" s="35" t="s">
        <v>151</v>
      </c>
      <c r="C55" s="35" t="s">
        <v>188</v>
      </c>
      <c r="D55" s="36" t="s">
        <v>12</v>
      </c>
      <c r="E55" s="36" t="s">
        <v>23</v>
      </c>
      <c r="F55" s="41"/>
      <c r="G55" s="36" t="s">
        <v>191</v>
      </c>
      <c r="H55" s="36" t="s">
        <v>159</v>
      </c>
      <c r="I55" s="36" t="s">
        <v>189</v>
      </c>
      <c r="J55" s="36" t="s">
        <v>162</v>
      </c>
      <c r="K55" s="36" t="s">
        <v>187</v>
      </c>
      <c r="L55" s="36" t="s">
        <v>187</v>
      </c>
      <c r="M55" s="37"/>
      <c r="N55" s="37" t="s">
        <v>30</v>
      </c>
      <c r="O55" s="37"/>
      <c r="P55" s="39" t="s">
        <v>39</v>
      </c>
      <c r="Q55" s="39">
        <v>44662.522303240738</v>
      </c>
      <c r="R55" s="37" t="s">
        <v>39</v>
      </c>
      <c r="S55" s="39">
        <v>44662.522303240738</v>
      </c>
    </row>
    <row r="56" spans="1:19" ht="132" hidden="1">
      <c r="A56" s="40">
        <v>48</v>
      </c>
      <c r="B56" s="35" t="s">
        <v>151</v>
      </c>
      <c r="C56" s="35" t="s">
        <v>190</v>
      </c>
      <c r="D56" s="36" t="s">
        <v>12</v>
      </c>
      <c r="E56" s="36" t="s">
        <v>23</v>
      </c>
      <c r="F56" s="41"/>
      <c r="G56" s="36" t="s">
        <v>193</v>
      </c>
      <c r="H56" s="36" t="s">
        <v>159</v>
      </c>
      <c r="I56" s="36" t="s">
        <v>192</v>
      </c>
      <c r="J56" s="36" t="s">
        <v>194</v>
      </c>
      <c r="K56" s="36" t="s">
        <v>198</v>
      </c>
      <c r="L56" s="36" t="s">
        <v>198</v>
      </c>
      <c r="M56" s="37"/>
      <c r="N56" s="37" t="s">
        <v>30</v>
      </c>
      <c r="O56" s="37"/>
      <c r="P56" s="39" t="s">
        <v>39</v>
      </c>
      <c r="Q56" s="39">
        <v>44662.524571759262</v>
      </c>
      <c r="R56" s="37" t="s">
        <v>39</v>
      </c>
      <c r="S56" s="39">
        <v>44662.524571759262</v>
      </c>
    </row>
    <row r="57" spans="1:19" ht="145.19999999999999" hidden="1">
      <c r="A57" s="40">
        <v>49</v>
      </c>
      <c r="B57" s="35" t="s">
        <v>151</v>
      </c>
      <c r="C57" s="35" t="s">
        <v>195</v>
      </c>
      <c r="D57" s="36" t="s">
        <v>12</v>
      </c>
      <c r="E57" s="36" t="s">
        <v>23</v>
      </c>
      <c r="F57" s="41"/>
      <c r="G57" s="36" t="s">
        <v>196</v>
      </c>
      <c r="H57" s="36" t="s">
        <v>159</v>
      </c>
      <c r="I57" s="36" t="s">
        <v>197</v>
      </c>
      <c r="J57" s="36" t="s">
        <v>162</v>
      </c>
      <c r="K57" s="36" t="s">
        <v>199</v>
      </c>
      <c r="L57" s="36" t="s">
        <v>199</v>
      </c>
      <c r="M57" s="37"/>
      <c r="N57" s="37" t="s">
        <v>30</v>
      </c>
      <c r="O57" s="37"/>
      <c r="P57" s="39" t="s">
        <v>39</v>
      </c>
      <c r="Q57" s="39">
        <v>44662.530416666668</v>
      </c>
      <c r="R57" s="37" t="s">
        <v>39</v>
      </c>
      <c r="S57" s="39">
        <v>44662.530416666668</v>
      </c>
    </row>
    <row r="58" spans="1:19" ht="158.4" hidden="1">
      <c r="A58" s="40">
        <v>50</v>
      </c>
      <c r="B58" s="35" t="s">
        <v>151</v>
      </c>
      <c r="C58" s="35" t="s">
        <v>200</v>
      </c>
      <c r="D58" s="36" t="s">
        <v>12</v>
      </c>
      <c r="E58" s="36" t="s">
        <v>23</v>
      </c>
      <c r="F58" s="41"/>
      <c r="G58" s="36" t="s">
        <v>201</v>
      </c>
      <c r="H58" s="36" t="s">
        <v>159</v>
      </c>
      <c r="I58" s="36" t="s">
        <v>202</v>
      </c>
      <c r="J58" s="36" t="s">
        <v>204</v>
      </c>
      <c r="K58" s="36" t="s">
        <v>203</v>
      </c>
      <c r="L58" s="36" t="s">
        <v>203</v>
      </c>
      <c r="M58" s="37"/>
      <c r="N58" s="37" t="s">
        <v>31</v>
      </c>
      <c r="O58" s="37"/>
      <c r="P58" s="39" t="s">
        <v>39</v>
      </c>
      <c r="Q58" s="39">
        <v>44662.532384259262</v>
      </c>
      <c r="R58" s="37" t="s">
        <v>39</v>
      </c>
      <c r="S58" s="39">
        <v>44662.532384259262</v>
      </c>
    </row>
    <row r="59" spans="1:19" ht="26.4" hidden="1">
      <c r="A59" s="40">
        <v>51</v>
      </c>
      <c r="B59" s="35" t="s">
        <v>151</v>
      </c>
      <c r="C59" s="35" t="s">
        <v>205</v>
      </c>
      <c r="D59" s="36" t="s">
        <v>8</v>
      </c>
      <c r="E59" s="36" t="s">
        <v>23</v>
      </c>
      <c r="F59" s="41"/>
      <c r="G59" s="36" t="s">
        <v>206</v>
      </c>
      <c r="H59" s="36" t="s">
        <v>211</v>
      </c>
      <c r="I59" s="36"/>
      <c r="J59" s="36" t="s">
        <v>207</v>
      </c>
      <c r="K59" s="36" t="s">
        <v>208</v>
      </c>
      <c r="L59" s="36" t="s">
        <v>208</v>
      </c>
      <c r="M59" s="37"/>
      <c r="N59" s="37" t="s">
        <v>31</v>
      </c>
      <c r="O59" s="37"/>
      <c r="P59" s="39" t="s">
        <v>39</v>
      </c>
      <c r="Q59" s="39">
        <v>44662.534305555557</v>
      </c>
      <c r="R59" s="37" t="s">
        <v>39</v>
      </c>
      <c r="S59" s="39">
        <v>44662.534305555557</v>
      </c>
    </row>
    <row r="60" spans="1:19" ht="39.6" hidden="1">
      <c r="A60" s="40">
        <v>52</v>
      </c>
      <c r="B60" s="35" t="s">
        <v>151</v>
      </c>
      <c r="C60" s="35" t="s">
        <v>209</v>
      </c>
      <c r="D60" s="36" t="s">
        <v>8</v>
      </c>
      <c r="E60" s="36" t="s">
        <v>23</v>
      </c>
      <c r="F60" s="41"/>
      <c r="G60" s="36" t="s">
        <v>210</v>
      </c>
      <c r="H60" s="36" t="s">
        <v>211</v>
      </c>
      <c r="I60" s="36"/>
      <c r="J60" s="36" t="s">
        <v>212</v>
      </c>
      <c r="K60" s="36" t="s">
        <v>213</v>
      </c>
      <c r="L60" s="36" t="s">
        <v>213</v>
      </c>
      <c r="M60" s="37"/>
      <c r="N60" s="37" t="s">
        <v>31</v>
      </c>
      <c r="O60" s="37"/>
      <c r="P60" s="39" t="s">
        <v>39</v>
      </c>
      <c r="Q60" s="39">
        <v>44662.559432870374</v>
      </c>
      <c r="R60" s="37" t="s">
        <v>39</v>
      </c>
      <c r="S60" s="39">
        <v>44662.559432870374</v>
      </c>
    </row>
    <row r="61" spans="1:19" ht="39.6" hidden="1">
      <c r="A61" s="40">
        <v>53</v>
      </c>
      <c r="B61" s="35" t="s">
        <v>151</v>
      </c>
      <c r="C61" s="35" t="s">
        <v>214</v>
      </c>
      <c r="D61" s="36" t="s">
        <v>8</v>
      </c>
      <c r="E61" s="36" t="s">
        <v>23</v>
      </c>
      <c r="F61" s="41"/>
      <c r="G61" s="36" t="s">
        <v>215</v>
      </c>
      <c r="H61" s="36" t="s">
        <v>211</v>
      </c>
      <c r="I61" s="36"/>
      <c r="J61" s="36" t="s">
        <v>216</v>
      </c>
      <c r="K61" s="36" t="s">
        <v>217</v>
      </c>
      <c r="L61" s="36" t="s">
        <v>217</v>
      </c>
      <c r="M61" s="37"/>
      <c r="N61" s="37" t="s">
        <v>31</v>
      </c>
      <c r="O61" s="37"/>
      <c r="P61" s="39" t="s">
        <v>39</v>
      </c>
      <c r="Q61" s="39">
        <v>44662.561550925922</v>
      </c>
      <c r="R61" s="37" t="s">
        <v>39</v>
      </c>
      <c r="S61" s="39">
        <v>44662.561550925922</v>
      </c>
    </row>
    <row r="62" spans="1:19" ht="39.6" hidden="1">
      <c r="A62" s="40">
        <v>54</v>
      </c>
      <c r="B62" s="35" t="s">
        <v>151</v>
      </c>
      <c r="C62" s="35" t="s">
        <v>218</v>
      </c>
      <c r="D62" s="36" t="s">
        <v>8</v>
      </c>
      <c r="E62" s="36" t="s">
        <v>23</v>
      </c>
      <c r="F62" s="41"/>
      <c r="G62" s="36" t="s">
        <v>219</v>
      </c>
      <c r="H62" s="36" t="s">
        <v>211</v>
      </c>
      <c r="I62" s="36"/>
      <c r="J62" s="36" t="s">
        <v>221</v>
      </c>
      <c r="K62" s="36" t="s">
        <v>220</v>
      </c>
      <c r="L62" s="36" t="s">
        <v>220</v>
      </c>
      <c r="M62" s="37"/>
      <c r="N62" s="37" t="s">
        <v>31</v>
      </c>
      <c r="O62" s="37"/>
      <c r="P62" s="39" t="s">
        <v>39</v>
      </c>
      <c r="Q62" s="39">
        <v>44662.573738425926</v>
      </c>
      <c r="R62" s="37" t="s">
        <v>39</v>
      </c>
      <c r="S62" s="39">
        <v>44662.573738425926</v>
      </c>
    </row>
    <row r="63" spans="1:19" ht="145.19999999999999" hidden="1">
      <c r="A63" s="40">
        <v>55</v>
      </c>
      <c r="B63" s="35" t="s">
        <v>151</v>
      </c>
      <c r="C63" s="35" t="s">
        <v>222</v>
      </c>
      <c r="D63" s="36" t="s">
        <v>12</v>
      </c>
      <c r="E63" s="36" t="s">
        <v>24</v>
      </c>
      <c r="F63" s="41"/>
      <c r="G63" s="36" t="s">
        <v>223</v>
      </c>
      <c r="H63" s="36" t="s">
        <v>159</v>
      </c>
      <c r="I63" s="36" t="s">
        <v>224</v>
      </c>
      <c r="J63" s="36" t="s">
        <v>225</v>
      </c>
      <c r="K63" s="36" t="s">
        <v>226</v>
      </c>
      <c r="L63" s="36" t="s">
        <v>160</v>
      </c>
      <c r="M63" s="42" t="s">
        <v>227</v>
      </c>
      <c r="N63" s="37" t="s">
        <v>30</v>
      </c>
      <c r="O63" s="37"/>
      <c r="P63" s="39" t="s">
        <v>39</v>
      </c>
      <c r="Q63" s="39">
        <v>44662.575995370367</v>
      </c>
      <c r="R63" s="37" t="s">
        <v>39</v>
      </c>
      <c r="S63" s="39">
        <v>44662.575995370367</v>
      </c>
    </row>
    <row r="64" spans="1:19" ht="39.6" hidden="1">
      <c r="A64" s="40">
        <v>56</v>
      </c>
      <c r="B64" s="35" t="s">
        <v>151</v>
      </c>
      <c r="C64" s="35" t="s">
        <v>228</v>
      </c>
      <c r="D64" s="36" t="s">
        <v>8</v>
      </c>
      <c r="E64" s="36" t="s">
        <v>23</v>
      </c>
      <c r="F64" s="41"/>
      <c r="G64" s="36" t="s">
        <v>229</v>
      </c>
      <c r="H64" s="36" t="s">
        <v>211</v>
      </c>
      <c r="I64" s="36"/>
      <c r="J64" s="36" t="s">
        <v>231</v>
      </c>
      <c r="K64" s="36" t="s">
        <v>230</v>
      </c>
      <c r="L64" s="36" t="s">
        <v>230</v>
      </c>
      <c r="M64" s="37"/>
      <c r="N64" s="37" t="s">
        <v>31</v>
      </c>
      <c r="O64" s="37"/>
      <c r="P64" s="39" t="s">
        <v>39</v>
      </c>
      <c r="Q64" s="39">
        <v>44662.586493055554</v>
      </c>
      <c r="R64" s="37" t="s">
        <v>39</v>
      </c>
      <c r="S64" s="39">
        <v>44662.586493055554</v>
      </c>
    </row>
    <row r="65" spans="1:19" ht="39.6" hidden="1">
      <c r="A65" s="40">
        <v>57</v>
      </c>
      <c r="B65" s="35" t="s">
        <v>151</v>
      </c>
      <c r="C65" s="35" t="s">
        <v>232</v>
      </c>
      <c r="D65" s="36" t="s">
        <v>8</v>
      </c>
      <c r="E65" s="36" t="s">
        <v>23</v>
      </c>
      <c r="F65" s="41"/>
      <c r="G65" s="36" t="s">
        <v>429</v>
      </c>
      <c r="H65" s="36" t="s">
        <v>211</v>
      </c>
      <c r="I65" s="36" t="s">
        <v>233</v>
      </c>
      <c r="J65" s="36" t="s">
        <v>234</v>
      </c>
      <c r="K65" s="36" t="s">
        <v>235</v>
      </c>
      <c r="L65" s="36" t="s">
        <v>235</v>
      </c>
      <c r="M65" s="37"/>
      <c r="N65" s="37" t="s">
        <v>31</v>
      </c>
      <c r="O65" s="37"/>
      <c r="P65" s="39" t="s">
        <v>39</v>
      </c>
      <c r="Q65" s="39">
        <v>44662.590567129628</v>
      </c>
      <c r="R65" s="37" t="s">
        <v>39</v>
      </c>
      <c r="S65" s="39">
        <v>44662.590567129628</v>
      </c>
    </row>
    <row r="66" spans="1:19" ht="26.4" hidden="1">
      <c r="A66" s="40">
        <v>58</v>
      </c>
      <c r="B66" s="35" t="s">
        <v>151</v>
      </c>
      <c r="C66" s="35" t="s">
        <v>238</v>
      </c>
      <c r="D66" s="36" t="s">
        <v>8</v>
      </c>
      <c r="E66" s="36" t="s">
        <v>23</v>
      </c>
      <c r="F66" s="41"/>
      <c r="G66" s="36" t="s">
        <v>236</v>
      </c>
      <c r="H66" s="36" t="s">
        <v>211</v>
      </c>
      <c r="I66" s="36"/>
      <c r="J66" s="36" t="s">
        <v>248</v>
      </c>
      <c r="K66" s="36" t="s">
        <v>237</v>
      </c>
      <c r="L66" s="36" t="s">
        <v>237</v>
      </c>
      <c r="M66" s="37"/>
      <c r="N66" s="37" t="s">
        <v>31</v>
      </c>
      <c r="O66" s="37"/>
      <c r="P66" s="39" t="s">
        <v>39</v>
      </c>
      <c r="Q66" s="39">
        <v>44662.594884259262</v>
      </c>
      <c r="R66" s="37" t="s">
        <v>39</v>
      </c>
      <c r="S66" s="39">
        <v>44662.594884259262</v>
      </c>
    </row>
    <row r="67" spans="1:19" ht="26.4" hidden="1">
      <c r="A67" s="40">
        <v>59</v>
      </c>
      <c r="B67" s="35" t="s">
        <v>151</v>
      </c>
      <c r="C67" s="35" t="s">
        <v>239</v>
      </c>
      <c r="D67" s="36" t="s">
        <v>8</v>
      </c>
      <c r="E67" s="36" t="s">
        <v>23</v>
      </c>
      <c r="F67" s="41"/>
      <c r="G67" s="36" t="s">
        <v>240</v>
      </c>
      <c r="H67" s="36" t="s">
        <v>211</v>
      </c>
      <c r="I67" s="36"/>
      <c r="J67" s="36" t="s">
        <v>249</v>
      </c>
      <c r="K67" s="36" t="s">
        <v>241</v>
      </c>
      <c r="L67" s="36" t="s">
        <v>241</v>
      </c>
      <c r="M67" s="37"/>
      <c r="N67" s="37" t="s">
        <v>31</v>
      </c>
      <c r="O67" s="37"/>
      <c r="P67" s="39" t="s">
        <v>39</v>
      </c>
      <c r="Q67" s="39">
        <v>44662.597384259258</v>
      </c>
      <c r="R67" s="37" t="s">
        <v>39</v>
      </c>
      <c r="S67" s="39">
        <v>44662.597384259258</v>
      </c>
    </row>
    <row r="68" spans="1:19" ht="26.4" hidden="1">
      <c r="A68" s="40">
        <v>60</v>
      </c>
      <c r="B68" s="35" t="s">
        <v>151</v>
      </c>
      <c r="C68" s="35" t="s">
        <v>242</v>
      </c>
      <c r="D68" s="36" t="s">
        <v>8</v>
      </c>
      <c r="E68" s="36" t="s">
        <v>23</v>
      </c>
      <c r="F68" s="41"/>
      <c r="G68" s="36" t="s">
        <v>243</v>
      </c>
      <c r="H68" s="36" t="s">
        <v>211</v>
      </c>
      <c r="I68" s="36"/>
      <c r="J68" s="36" t="s">
        <v>250</v>
      </c>
      <c r="K68" s="36" t="s">
        <v>237</v>
      </c>
      <c r="L68" s="36" t="s">
        <v>237</v>
      </c>
      <c r="M68" s="37"/>
      <c r="N68" s="37" t="s">
        <v>31</v>
      </c>
      <c r="O68" s="37"/>
      <c r="P68" s="39" t="s">
        <v>39</v>
      </c>
      <c r="Q68" s="39">
        <v>44662.59952546296</v>
      </c>
      <c r="R68" s="37" t="s">
        <v>39</v>
      </c>
      <c r="S68" s="39">
        <v>44662.59952546296</v>
      </c>
    </row>
    <row r="69" spans="1:19" ht="39.6" hidden="1">
      <c r="A69" s="40">
        <v>61</v>
      </c>
      <c r="B69" s="35" t="s">
        <v>151</v>
      </c>
      <c r="C69" s="35" t="s">
        <v>244</v>
      </c>
      <c r="D69" s="36" t="s">
        <v>8</v>
      </c>
      <c r="E69" s="36" t="s">
        <v>23</v>
      </c>
      <c r="F69" s="41"/>
      <c r="G69" s="36" t="s">
        <v>245</v>
      </c>
      <c r="H69" s="36" t="s">
        <v>211</v>
      </c>
      <c r="I69" s="36"/>
      <c r="J69" s="36" t="s">
        <v>251</v>
      </c>
      <c r="K69" s="36" t="s">
        <v>241</v>
      </c>
      <c r="L69" s="36" t="s">
        <v>241</v>
      </c>
      <c r="M69" s="37"/>
      <c r="N69" s="37" t="s">
        <v>31</v>
      </c>
      <c r="O69" s="37"/>
      <c r="P69" s="39" t="s">
        <v>39</v>
      </c>
      <c r="Q69" s="39">
        <v>44662.600474537037</v>
      </c>
      <c r="R69" s="37" t="s">
        <v>39</v>
      </c>
      <c r="S69" s="39">
        <v>44662.600474537037</v>
      </c>
    </row>
    <row r="70" spans="1:19" ht="26.4" hidden="1">
      <c r="A70" s="40">
        <v>62</v>
      </c>
      <c r="B70" s="35" t="s">
        <v>151</v>
      </c>
      <c r="C70" s="35" t="s">
        <v>246</v>
      </c>
      <c r="D70" s="36" t="s">
        <v>8</v>
      </c>
      <c r="E70" s="36" t="s">
        <v>23</v>
      </c>
      <c r="F70" s="41"/>
      <c r="G70" s="36" t="s">
        <v>247</v>
      </c>
      <c r="H70" s="36" t="s">
        <v>211</v>
      </c>
      <c r="I70" s="36"/>
      <c r="J70" s="36" t="s">
        <v>254</v>
      </c>
      <c r="K70" s="36" t="s">
        <v>237</v>
      </c>
      <c r="L70" s="36" t="s">
        <v>237</v>
      </c>
      <c r="M70" s="37"/>
      <c r="N70" s="37" t="s">
        <v>31</v>
      </c>
      <c r="O70" s="37"/>
      <c r="P70" s="39" t="s">
        <v>39</v>
      </c>
      <c r="Q70" s="39">
        <v>44662.601990740739</v>
      </c>
      <c r="R70" s="37" t="s">
        <v>39</v>
      </c>
      <c r="S70" s="39">
        <v>44662.601990740739</v>
      </c>
    </row>
    <row r="71" spans="1:19" ht="39.6" hidden="1">
      <c r="A71" s="40">
        <v>63</v>
      </c>
      <c r="B71" s="35" t="s">
        <v>151</v>
      </c>
      <c r="C71" s="35" t="s">
        <v>252</v>
      </c>
      <c r="D71" s="36" t="s">
        <v>8</v>
      </c>
      <c r="E71" s="36" t="s">
        <v>23</v>
      </c>
      <c r="F71" s="41"/>
      <c r="G71" s="36" t="s">
        <v>253</v>
      </c>
      <c r="H71" s="36" t="s">
        <v>211</v>
      </c>
      <c r="I71" s="36"/>
      <c r="J71" s="36" t="s">
        <v>255</v>
      </c>
      <c r="K71" s="36" t="s">
        <v>241</v>
      </c>
      <c r="L71" s="36" t="s">
        <v>241</v>
      </c>
      <c r="M71" s="37"/>
      <c r="N71" s="37" t="s">
        <v>31</v>
      </c>
      <c r="O71" s="37"/>
      <c r="P71" s="39" t="s">
        <v>39</v>
      </c>
      <c r="Q71" s="39">
        <v>44662.615266203706</v>
      </c>
      <c r="R71" s="37" t="s">
        <v>39</v>
      </c>
      <c r="S71" s="39">
        <v>44662.615266203706</v>
      </c>
    </row>
    <row r="72" spans="1:19" ht="26.4" hidden="1">
      <c r="A72" s="40">
        <v>64</v>
      </c>
      <c r="B72" s="35" t="s">
        <v>151</v>
      </c>
      <c r="C72" s="35" t="s">
        <v>256</v>
      </c>
      <c r="D72" s="36" t="s">
        <v>8</v>
      </c>
      <c r="E72" s="36" t="s">
        <v>23</v>
      </c>
      <c r="F72" s="41"/>
      <c r="G72" s="36" t="s">
        <v>257</v>
      </c>
      <c r="H72" s="36" t="s">
        <v>211</v>
      </c>
      <c r="I72" s="36"/>
      <c r="J72" s="36" t="s">
        <v>258</v>
      </c>
      <c r="K72" s="36" t="s">
        <v>237</v>
      </c>
      <c r="L72" s="36" t="s">
        <v>237</v>
      </c>
      <c r="M72" s="37"/>
      <c r="N72" s="37" t="s">
        <v>31</v>
      </c>
      <c r="O72" s="37"/>
      <c r="P72" s="39" t="s">
        <v>39</v>
      </c>
      <c r="Q72" s="39">
        <v>44662.630150462966</v>
      </c>
      <c r="R72" s="37" t="s">
        <v>39</v>
      </c>
      <c r="S72" s="39">
        <v>44662.630150462966</v>
      </c>
    </row>
    <row r="73" spans="1:19" ht="26.4" hidden="1">
      <c r="A73" s="40">
        <v>65</v>
      </c>
      <c r="B73" s="35" t="s">
        <v>151</v>
      </c>
      <c r="C73" s="35" t="s">
        <v>259</v>
      </c>
      <c r="D73" s="36" t="s">
        <v>8</v>
      </c>
      <c r="E73" s="36" t="s">
        <v>23</v>
      </c>
      <c r="F73" s="41"/>
      <c r="G73" s="36" t="s">
        <v>260</v>
      </c>
      <c r="H73" s="36" t="s">
        <v>211</v>
      </c>
      <c r="I73" s="36"/>
      <c r="J73" s="36" t="s">
        <v>261</v>
      </c>
      <c r="K73" s="36" t="s">
        <v>241</v>
      </c>
      <c r="L73" s="36" t="s">
        <v>241</v>
      </c>
      <c r="M73" s="37"/>
      <c r="N73" s="37" t="s">
        <v>31</v>
      </c>
      <c r="O73" s="37"/>
      <c r="P73" s="39" t="s">
        <v>39</v>
      </c>
      <c r="Q73" s="39">
        <v>44662.630844907406</v>
      </c>
      <c r="R73" s="37" t="s">
        <v>39</v>
      </c>
      <c r="S73" s="39">
        <v>44662.630844907406</v>
      </c>
    </row>
    <row r="74" spans="1:19" ht="26.4" hidden="1">
      <c r="A74" s="40">
        <v>66</v>
      </c>
      <c r="B74" s="35" t="s">
        <v>151</v>
      </c>
      <c r="C74" s="35" t="s">
        <v>262</v>
      </c>
      <c r="D74" s="36" t="s">
        <v>8</v>
      </c>
      <c r="E74" s="36" t="s">
        <v>23</v>
      </c>
      <c r="F74" s="41"/>
      <c r="G74" s="36" t="s">
        <v>263</v>
      </c>
      <c r="H74" s="36" t="s">
        <v>211</v>
      </c>
      <c r="I74" s="36"/>
      <c r="J74" s="36" t="s">
        <v>271</v>
      </c>
      <c r="K74" s="36" t="s">
        <v>237</v>
      </c>
      <c r="L74" s="36" t="s">
        <v>237</v>
      </c>
      <c r="M74" s="37"/>
      <c r="N74" s="37" t="s">
        <v>31</v>
      </c>
      <c r="O74" s="37"/>
      <c r="P74" s="39" t="s">
        <v>39</v>
      </c>
      <c r="Q74" s="39">
        <v>44662.631643518522</v>
      </c>
      <c r="R74" s="37" t="s">
        <v>39</v>
      </c>
      <c r="S74" s="39">
        <v>44662.631643518522</v>
      </c>
    </row>
    <row r="75" spans="1:19" ht="39.6" hidden="1">
      <c r="A75" s="40">
        <v>67</v>
      </c>
      <c r="B75" s="35" t="s">
        <v>151</v>
      </c>
      <c r="C75" s="35" t="s">
        <v>265</v>
      </c>
      <c r="D75" s="36" t="s">
        <v>12</v>
      </c>
      <c r="E75" s="36" t="s">
        <v>23</v>
      </c>
      <c r="F75" s="41"/>
      <c r="G75" s="36" t="s">
        <v>425</v>
      </c>
      <c r="H75" s="36" t="s">
        <v>211</v>
      </c>
      <c r="I75" s="36" t="s">
        <v>266</v>
      </c>
      <c r="J75" s="36" t="s">
        <v>234</v>
      </c>
      <c r="K75" s="36" t="s">
        <v>267</v>
      </c>
      <c r="L75" s="36" t="s">
        <v>267</v>
      </c>
      <c r="M75" s="37"/>
      <c r="N75" s="37" t="s">
        <v>31</v>
      </c>
      <c r="O75" s="37"/>
      <c r="P75" s="39" t="s">
        <v>39</v>
      </c>
      <c r="Q75" s="39">
        <v>44663.338541666664</v>
      </c>
      <c r="R75" s="37" t="s">
        <v>39</v>
      </c>
      <c r="S75" s="39">
        <v>44663.338541666664</v>
      </c>
    </row>
    <row r="76" spans="1:19" ht="26.4" hidden="1">
      <c r="A76" s="40">
        <v>68</v>
      </c>
      <c r="B76" s="35" t="s">
        <v>151</v>
      </c>
      <c r="C76" s="35" t="s">
        <v>269</v>
      </c>
      <c r="D76" s="36" t="s">
        <v>8</v>
      </c>
      <c r="E76" s="36" t="s">
        <v>23</v>
      </c>
      <c r="F76" s="41"/>
      <c r="G76" s="36" t="s">
        <v>270</v>
      </c>
      <c r="H76" s="36" t="s">
        <v>211</v>
      </c>
      <c r="I76" s="36"/>
      <c r="J76" s="36" t="s">
        <v>274</v>
      </c>
      <c r="K76" s="36" t="s">
        <v>237</v>
      </c>
      <c r="L76" s="36" t="s">
        <v>237</v>
      </c>
      <c r="M76" s="37"/>
      <c r="N76" s="37" t="s">
        <v>31</v>
      </c>
      <c r="O76" s="37"/>
      <c r="P76" s="39" t="s">
        <v>39</v>
      </c>
      <c r="Q76" s="39">
        <v>44663.34207175926</v>
      </c>
      <c r="R76" s="37" t="s">
        <v>39</v>
      </c>
      <c r="S76" s="39">
        <v>44663.34207175926</v>
      </c>
    </row>
    <row r="77" spans="1:19" ht="39.6" hidden="1">
      <c r="A77" s="40">
        <v>69</v>
      </c>
      <c r="B77" s="35" t="s">
        <v>151</v>
      </c>
      <c r="C77" s="35" t="s">
        <v>272</v>
      </c>
      <c r="D77" s="36" t="s">
        <v>8</v>
      </c>
      <c r="E77" s="36" t="s">
        <v>23</v>
      </c>
      <c r="F77" s="41"/>
      <c r="G77" s="36" t="s">
        <v>273</v>
      </c>
      <c r="H77" s="36" t="s">
        <v>211</v>
      </c>
      <c r="I77" s="36"/>
      <c r="J77" s="36" t="s">
        <v>275</v>
      </c>
      <c r="K77" s="36" t="s">
        <v>241</v>
      </c>
      <c r="L77" s="36" t="s">
        <v>241</v>
      </c>
      <c r="M77" s="37"/>
      <c r="N77" s="37" t="s">
        <v>31</v>
      </c>
      <c r="O77" s="37"/>
      <c r="P77" s="39" t="s">
        <v>39</v>
      </c>
      <c r="Q77" s="39">
        <v>44663.344421296293</v>
      </c>
      <c r="R77" s="37" t="s">
        <v>39</v>
      </c>
      <c r="S77" s="39">
        <v>44663.344421296293</v>
      </c>
    </row>
    <row r="78" spans="1:19" ht="39.6" hidden="1">
      <c r="A78" s="40">
        <v>70</v>
      </c>
      <c r="B78" s="35" t="s">
        <v>151</v>
      </c>
      <c r="C78" s="35" t="s">
        <v>276</v>
      </c>
      <c r="D78" s="36" t="s">
        <v>8</v>
      </c>
      <c r="E78" s="36" t="s">
        <v>23</v>
      </c>
      <c r="F78" s="41"/>
      <c r="G78" s="36" t="s">
        <v>277</v>
      </c>
      <c r="H78" s="36" t="s">
        <v>211</v>
      </c>
      <c r="I78" s="36"/>
      <c r="J78" s="36" t="s">
        <v>264</v>
      </c>
      <c r="K78" s="36" t="s">
        <v>241</v>
      </c>
      <c r="L78" s="36" t="s">
        <v>241</v>
      </c>
      <c r="M78" s="37"/>
      <c r="N78" s="37" t="s">
        <v>31</v>
      </c>
      <c r="O78" s="37"/>
      <c r="P78" s="39" t="s">
        <v>39</v>
      </c>
      <c r="Q78" s="39">
        <v>44663.34547453704</v>
      </c>
      <c r="R78" s="37" t="s">
        <v>39</v>
      </c>
      <c r="S78" s="39">
        <v>44663.34547453704</v>
      </c>
    </row>
    <row r="79" spans="1:19" ht="26.4" hidden="1">
      <c r="A79" s="40">
        <v>71</v>
      </c>
      <c r="B79" s="35" t="s">
        <v>151</v>
      </c>
      <c r="C79" s="35" t="s">
        <v>278</v>
      </c>
      <c r="D79" s="36" t="s">
        <v>8</v>
      </c>
      <c r="E79" s="36" t="s">
        <v>23</v>
      </c>
      <c r="F79" s="41"/>
      <c r="G79" s="36" t="s">
        <v>279</v>
      </c>
      <c r="H79" s="36" t="s">
        <v>211</v>
      </c>
      <c r="I79" s="36"/>
      <c r="J79" s="36" t="s">
        <v>280</v>
      </c>
      <c r="K79" s="36" t="s">
        <v>237</v>
      </c>
      <c r="L79" s="36" t="s">
        <v>237</v>
      </c>
      <c r="M79" s="37"/>
      <c r="N79" s="37" t="s">
        <v>31</v>
      </c>
      <c r="O79" s="37"/>
      <c r="P79" s="39" t="s">
        <v>39</v>
      </c>
      <c r="Q79" s="39">
        <v>44663.346215277779</v>
      </c>
      <c r="R79" s="37" t="s">
        <v>39</v>
      </c>
      <c r="S79" s="39">
        <v>44663.346215277779</v>
      </c>
    </row>
    <row r="80" spans="1:19" ht="39.6" hidden="1">
      <c r="A80" s="40">
        <v>72</v>
      </c>
      <c r="B80" s="35" t="s">
        <v>151</v>
      </c>
      <c r="C80" s="35" t="s">
        <v>281</v>
      </c>
      <c r="D80" s="36" t="s">
        <v>8</v>
      </c>
      <c r="E80" s="36" t="s">
        <v>23</v>
      </c>
      <c r="F80" s="41"/>
      <c r="G80" s="36" t="s">
        <v>282</v>
      </c>
      <c r="H80" s="36" t="s">
        <v>211</v>
      </c>
      <c r="I80" s="36"/>
      <c r="J80" s="36" t="s">
        <v>283</v>
      </c>
      <c r="K80" s="36" t="s">
        <v>241</v>
      </c>
      <c r="L80" s="36" t="s">
        <v>241</v>
      </c>
      <c r="M80" s="37"/>
      <c r="N80" s="37" t="s">
        <v>31</v>
      </c>
      <c r="O80" s="37"/>
      <c r="P80" s="39" t="s">
        <v>39</v>
      </c>
      <c r="Q80" s="39">
        <v>44663.347395833334</v>
      </c>
      <c r="R80" s="37" t="s">
        <v>39</v>
      </c>
      <c r="S80" s="39">
        <v>44663.347395833334</v>
      </c>
    </row>
    <row r="81" spans="1:19" ht="39.6" hidden="1">
      <c r="A81" s="40">
        <v>73</v>
      </c>
      <c r="B81" s="35" t="s">
        <v>151</v>
      </c>
      <c r="C81" s="35" t="s">
        <v>284</v>
      </c>
      <c r="D81" s="36" t="s">
        <v>8</v>
      </c>
      <c r="E81" s="36" t="s">
        <v>23</v>
      </c>
      <c r="F81" s="41"/>
      <c r="G81" s="36" t="s">
        <v>285</v>
      </c>
      <c r="H81" s="36" t="s">
        <v>211</v>
      </c>
      <c r="I81" s="36"/>
      <c r="J81" s="36" t="s">
        <v>286</v>
      </c>
      <c r="K81" s="36" t="s">
        <v>287</v>
      </c>
      <c r="L81" s="36" t="s">
        <v>287</v>
      </c>
      <c r="M81" s="37"/>
      <c r="N81" s="37" t="s">
        <v>30</v>
      </c>
      <c r="O81" s="37"/>
      <c r="P81" s="39" t="s">
        <v>39</v>
      </c>
      <c r="Q81" s="39">
        <v>44663.348553240743</v>
      </c>
      <c r="R81" s="37" t="s">
        <v>39</v>
      </c>
      <c r="S81" s="39">
        <v>44663.348553240743</v>
      </c>
    </row>
    <row r="82" spans="1:19" ht="158.4" hidden="1">
      <c r="A82" s="40">
        <v>74</v>
      </c>
      <c r="B82" s="35" t="s">
        <v>151</v>
      </c>
      <c r="C82" s="35" t="s">
        <v>288</v>
      </c>
      <c r="D82" s="36" t="s">
        <v>8</v>
      </c>
      <c r="E82" s="36" t="s">
        <v>23</v>
      </c>
      <c r="F82" s="41"/>
      <c r="G82" s="36" t="s">
        <v>313</v>
      </c>
      <c r="H82" s="36" t="s">
        <v>289</v>
      </c>
      <c r="I82" s="36" t="s">
        <v>290</v>
      </c>
      <c r="J82" s="36" t="s">
        <v>293</v>
      </c>
      <c r="K82" s="36" t="s">
        <v>291</v>
      </c>
      <c r="L82" s="36" t="s">
        <v>291</v>
      </c>
      <c r="M82" s="37"/>
      <c r="N82" s="37" t="s">
        <v>30</v>
      </c>
      <c r="O82" s="37"/>
      <c r="P82" s="39" t="s">
        <v>39</v>
      </c>
      <c r="Q82" s="39">
        <v>44663.352349537039</v>
      </c>
      <c r="R82" s="37" t="s">
        <v>39</v>
      </c>
      <c r="S82" s="39">
        <v>44663.352349537039</v>
      </c>
    </row>
    <row r="83" spans="1:19" ht="79.2" hidden="1">
      <c r="A83" s="40">
        <v>75</v>
      </c>
      <c r="B83" s="35" t="s">
        <v>151</v>
      </c>
      <c r="C83" s="35" t="s">
        <v>292</v>
      </c>
      <c r="D83" s="36" t="s">
        <v>12</v>
      </c>
      <c r="E83" s="36" t="s">
        <v>24</v>
      </c>
      <c r="F83" s="41"/>
      <c r="G83" s="36" t="s">
        <v>295</v>
      </c>
      <c r="H83" s="36" t="s">
        <v>289</v>
      </c>
      <c r="I83" s="36" t="s">
        <v>296</v>
      </c>
      <c r="J83" s="36" t="s">
        <v>297</v>
      </c>
      <c r="K83" s="36" t="s">
        <v>298</v>
      </c>
      <c r="L83" s="36" t="s">
        <v>299</v>
      </c>
      <c r="M83" s="42" t="s">
        <v>294</v>
      </c>
      <c r="N83" s="37" t="s">
        <v>30</v>
      </c>
      <c r="O83" s="37"/>
      <c r="P83" s="39" t="s">
        <v>39</v>
      </c>
      <c r="Q83" s="39">
        <v>44663.362256944441</v>
      </c>
      <c r="R83" s="37" t="s">
        <v>39</v>
      </c>
      <c r="S83" s="39">
        <v>44663.362256944441</v>
      </c>
    </row>
    <row r="84" spans="1:19" ht="79.2" hidden="1">
      <c r="A84" s="40">
        <v>76</v>
      </c>
      <c r="B84" s="35" t="s">
        <v>151</v>
      </c>
      <c r="C84" s="35" t="s">
        <v>300</v>
      </c>
      <c r="D84" s="36" t="s">
        <v>12</v>
      </c>
      <c r="E84" s="36" t="s">
        <v>24</v>
      </c>
      <c r="F84" s="41"/>
      <c r="G84" s="36" t="s">
        <v>301</v>
      </c>
      <c r="H84" s="36" t="s">
        <v>289</v>
      </c>
      <c r="I84" s="36" t="s">
        <v>302</v>
      </c>
      <c r="J84" s="36" t="s">
        <v>303</v>
      </c>
      <c r="K84" s="36" t="s">
        <v>298</v>
      </c>
      <c r="L84" s="36" t="s">
        <v>299</v>
      </c>
      <c r="M84" s="42" t="s">
        <v>304</v>
      </c>
      <c r="N84" s="37" t="s">
        <v>30</v>
      </c>
      <c r="O84" s="37"/>
      <c r="P84" s="39" t="s">
        <v>39</v>
      </c>
      <c r="Q84" s="39">
        <v>44663.372256944444</v>
      </c>
      <c r="R84" s="37" t="s">
        <v>39</v>
      </c>
      <c r="S84" s="39">
        <v>44663.372256944444</v>
      </c>
    </row>
    <row r="85" spans="1:19" ht="158.4" hidden="1">
      <c r="A85" s="40">
        <v>77</v>
      </c>
      <c r="B85" s="35" t="s">
        <v>151</v>
      </c>
      <c r="C85" s="35" t="s">
        <v>268</v>
      </c>
      <c r="D85" s="36" t="s">
        <v>12</v>
      </c>
      <c r="E85" s="36" t="s">
        <v>24</v>
      </c>
      <c r="F85" s="41"/>
      <c r="G85" s="36" t="s">
        <v>312</v>
      </c>
      <c r="H85" s="36" t="s">
        <v>289</v>
      </c>
      <c r="I85" s="36" t="s">
        <v>305</v>
      </c>
      <c r="J85" s="36" t="s">
        <v>293</v>
      </c>
      <c r="K85" s="36" t="s">
        <v>306</v>
      </c>
      <c r="L85" s="36" t="s">
        <v>307</v>
      </c>
      <c r="M85" s="42" t="s">
        <v>227</v>
      </c>
      <c r="N85" s="37" t="s">
        <v>30</v>
      </c>
      <c r="O85" s="37"/>
      <c r="P85" s="39" t="s">
        <v>39</v>
      </c>
      <c r="Q85" s="39">
        <v>44663.3749537037</v>
      </c>
      <c r="R85" s="37" t="s">
        <v>39</v>
      </c>
      <c r="S85" s="39">
        <v>44663.3749537037</v>
      </c>
    </row>
    <row r="86" spans="1:19" ht="158.4" hidden="1">
      <c r="A86" s="40">
        <v>78</v>
      </c>
      <c r="B86" s="35" t="s">
        <v>151</v>
      </c>
      <c r="C86" s="35" t="s">
        <v>308</v>
      </c>
      <c r="D86" s="36" t="s">
        <v>12</v>
      </c>
      <c r="E86" s="36" t="s">
        <v>24</v>
      </c>
      <c r="F86" s="41"/>
      <c r="G86" s="36" t="s">
        <v>314</v>
      </c>
      <c r="H86" s="36" t="s">
        <v>289</v>
      </c>
      <c r="I86" s="36" t="s">
        <v>309</v>
      </c>
      <c r="J86" s="36" t="s">
        <v>293</v>
      </c>
      <c r="K86" s="36" t="s">
        <v>306</v>
      </c>
      <c r="L86" s="36" t="s">
        <v>307</v>
      </c>
      <c r="M86" s="42" t="s">
        <v>310</v>
      </c>
      <c r="N86" s="37" t="s">
        <v>30</v>
      </c>
      <c r="O86" s="37"/>
      <c r="P86" s="39" t="s">
        <v>39</v>
      </c>
      <c r="Q86" s="39">
        <v>44663.387349537035</v>
      </c>
      <c r="R86" s="37" t="s">
        <v>39</v>
      </c>
      <c r="S86" s="39">
        <v>44663.387349537035</v>
      </c>
    </row>
    <row r="87" spans="1:19" ht="158.4" hidden="1">
      <c r="A87" s="40">
        <v>79</v>
      </c>
      <c r="B87" s="35" t="s">
        <v>151</v>
      </c>
      <c r="C87" s="35" t="s">
        <v>311</v>
      </c>
      <c r="D87" s="36" t="s">
        <v>12</v>
      </c>
      <c r="E87" s="36" t="s">
        <v>23</v>
      </c>
      <c r="F87" s="41"/>
      <c r="G87" s="36" t="s">
        <v>315</v>
      </c>
      <c r="H87" s="36" t="s">
        <v>289</v>
      </c>
      <c r="I87" s="36" t="s">
        <v>316</v>
      </c>
      <c r="J87" s="36" t="s">
        <v>293</v>
      </c>
      <c r="K87" s="36" t="s">
        <v>306</v>
      </c>
      <c r="L87" s="36" t="s">
        <v>317</v>
      </c>
      <c r="M87" s="37"/>
      <c r="N87" s="37" t="s">
        <v>30</v>
      </c>
      <c r="O87" s="37"/>
      <c r="P87" s="39" t="s">
        <v>39</v>
      </c>
      <c r="Q87" s="39">
        <v>44663.391736111109</v>
      </c>
      <c r="R87" s="37" t="s">
        <v>39</v>
      </c>
      <c r="S87" s="39">
        <v>44663.391736111109</v>
      </c>
    </row>
    <row r="88" spans="1:19" ht="158.4" hidden="1">
      <c r="A88" s="40">
        <v>80</v>
      </c>
      <c r="B88" s="35" t="s">
        <v>151</v>
      </c>
      <c r="C88" s="35" t="s">
        <v>318</v>
      </c>
      <c r="D88" s="36" t="s">
        <v>12</v>
      </c>
      <c r="E88" s="36" t="s">
        <v>24</v>
      </c>
      <c r="F88" s="41"/>
      <c r="G88" s="36" t="s">
        <v>319</v>
      </c>
      <c r="H88" s="36" t="s">
        <v>289</v>
      </c>
      <c r="I88" s="36" t="s">
        <v>320</v>
      </c>
      <c r="J88" s="36" t="s">
        <v>293</v>
      </c>
      <c r="K88" s="36" t="s">
        <v>306</v>
      </c>
      <c r="L88" s="36" t="s">
        <v>307</v>
      </c>
      <c r="M88" s="42" t="s">
        <v>321</v>
      </c>
      <c r="N88" s="37" t="s">
        <v>30</v>
      </c>
      <c r="O88" s="37"/>
      <c r="P88" s="39" t="s">
        <v>39</v>
      </c>
      <c r="Q88" s="39">
        <v>44663.394525462965</v>
      </c>
      <c r="R88" s="37" t="s">
        <v>39</v>
      </c>
      <c r="S88" s="39">
        <v>44663.394525462965</v>
      </c>
    </row>
    <row r="89" spans="1:19" ht="158.4" hidden="1">
      <c r="A89" s="40">
        <v>81</v>
      </c>
      <c r="B89" s="35" t="s">
        <v>151</v>
      </c>
      <c r="C89" s="35" t="s">
        <v>322</v>
      </c>
      <c r="D89" s="36" t="s">
        <v>12</v>
      </c>
      <c r="E89" s="36" t="s">
        <v>24</v>
      </c>
      <c r="F89" s="41"/>
      <c r="G89" s="36" t="s">
        <v>323</v>
      </c>
      <c r="H89" s="36" t="s">
        <v>289</v>
      </c>
      <c r="I89" s="36" t="s">
        <v>324</v>
      </c>
      <c r="J89" s="36" t="s">
        <v>293</v>
      </c>
      <c r="K89" s="36" t="s">
        <v>306</v>
      </c>
      <c r="L89" s="36" t="s">
        <v>307</v>
      </c>
      <c r="M89" s="42" t="s">
        <v>325</v>
      </c>
      <c r="N89" s="37" t="s">
        <v>30</v>
      </c>
      <c r="O89" s="37"/>
      <c r="P89" s="39" t="s">
        <v>39</v>
      </c>
      <c r="Q89" s="39">
        <v>44663.39775462963</v>
      </c>
      <c r="R89" s="37" t="s">
        <v>39</v>
      </c>
      <c r="S89" s="39">
        <v>44663.39775462963</v>
      </c>
    </row>
    <row r="90" spans="1:19" ht="158.4" hidden="1">
      <c r="A90" s="40">
        <v>82</v>
      </c>
      <c r="B90" s="35" t="s">
        <v>151</v>
      </c>
      <c r="C90" s="35" t="s">
        <v>326</v>
      </c>
      <c r="D90" s="36" t="s">
        <v>12</v>
      </c>
      <c r="E90" s="36" t="s">
        <v>23</v>
      </c>
      <c r="F90" s="41"/>
      <c r="G90" s="36" t="s">
        <v>327</v>
      </c>
      <c r="H90" s="36" t="s">
        <v>289</v>
      </c>
      <c r="I90" s="36" t="s">
        <v>328</v>
      </c>
      <c r="J90" s="36" t="s">
        <v>293</v>
      </c>
      <c r="K90" s="36" t="s">
        <v>329</v>
      </c>
      <c r="L90" s="36" t="s">
        <v>330</v>
      </c>
      <c r="M90" s="37"/>
      <c r="N90" s="37" t="s">
        <v>30</v>
      </c>
      <c r="O90" s="37"/>
      <c r="P90" s="39" t="s">
        <v>39</v>
      </c>
      <c r="Q90" s="39">
        <v>44663.402766203704</v>
      </c>
      <c r="R90" s="37" t="s">
        <v>39</v>
      </c>
      <c r="S90" s="39">
        <v>44663.402766203704</v>
      </c>
    </row>
    <row r="91" spans="1:19" ht="105.6" hidden="1">
      <c r="A91" s="40">
        <v>83</v>
      </c>
      <c r="B91" s="35" t="s">
        <v>151</v>
      </c>
      <c r="C91" s="35" t="s">
        <v>331</v>
      </c>
      <c r="D91" s="36" t="s">
        <v>8</v>
      </c>
      <c r="E91" s="36" t="s">
        <v>23</v>
      </c>
      <c r="F91" s="41"/>
      <c r="G91" s="36" t="s">
        <v>332</v>
      </c>
      <c r="H91" s="36" t="s">
        <v>289</v>
      </c>
      <c r="I91" s="36" t="s">
        <v>333</v>
      </c>
      <c r="J91" s="36" t="s">
        <v>334</v>
      </c>
      <c r="K91" s="36" t="s">
        <v>291</v>
      </c>
      <c r="L91" s="36" t="s">
        <v>291</v>
      </c>
      <c r="M91" s="37"/>
      <c r="N91" s="37" t="s">
        <v>30</v>
      </c>
      <c r="O91" s="37"/>
      <c r="P91" s="39" t="s">
        <v>39</v>
      </c>
      <c r="Q91" s="39">
        <v>44663.405902777777</v>
      </c>
      <c r="R91" s="37" t="s">
        <v>39</v>
      </c>
      <c r="S91" s="39">
        <v>44663.405902777777</v>
      </c>
    </row>
    <row r="92" spans="1:19" ht="52.8" hidden="1">
      <c r="A92" s="40">
        <v>84</v>
      </c>
      <c r="B92" s="35" t="s">
        <v>151</v>
      </c>
      <c r="C92" s="35" t="s">
        <v>335</v>
      </c>
      <c r="D92" s="36" t="s">
        <v>8</v>
      </c>
      <c r="E92" s="36" t="s">
        <v>23</v>
      </c>
      <c r="F92" s="41"/>
      <c r="G92" s="36" t="s">
        <v>336</v>
      </c>
      <c r="H92" s="36" t="s">
        <v>338</v>
      </c>
      <c r="I92" s="36"/>
      <c r="J92" s="36" t="s">
        <v>337</v>
      </c>
      <c r="K92" s="36" t="s">
        <v>339</v>
      </c>
      <c r="L92" s="36" t="s">
        <v>339</v>
      </c>
      <c r="M92" s="37"/>
      <c r="N92" s="37" t="s">
        <v>30</v>
      </c>
      <c r="O92" s="37"/>
      <c r="P92" s="39" t="s">
        <v>39</v>
      </c>
      <c r="Q92" s="39">
        <v>44663.432488425926</v>
      </c>
      <c r="R92" s="37" t="s">
        <v>39</v>
      </c>
      <c r="S92" s="39">
        <v>44663.432488425926</v>
      </c>
    </row>
    <row r="93" spans="1:19" ht="52.8" hidden="1">
      <c r="A93" s="40">
        <v>85</v>
      </c>
      <c r="B93" s="35" t="s">
        <v>151</v>
      </c>
      <c r="C93" s="35" t="s">
        <v>340</v>
      </c>
      <c r="D93" s="36" t="s">
        <v>8</v>
      </c>
      <c r="E93" s="36" t="s">
        <v>23</v>
      </c>
      <c r="F93" s="41"/>
      <c r="G93" s="36" t="s">
        <v>341</v>
      </c>
      <c r="H93" s="36" t="s">
        <v>338</v>
      </c>
      <c r="I93" s="36"/>
      <c r="J93" s="36" t="s">
        <v>342</v>
      </c>
      <c r="K93" s="36" t="s">
        <v>343</v>
      </c>
      <c r="L93" s="36" t="s">
        <v>343</v>
      </c>
      <c r="M93" s="37"/>
      <c r="N93" s="37" t="s">
        <v>30</v>
      </c>
      <c r="O93" s="37"/>
      <c r="P93" s="39" t="s">
        <v>39</v>
      </c>
      <c r="Q93" s="39">
        <v>44663.443055555559</v>
      </c>
      <c r="R93" s="37" t="s">
        <v>39</v>
      </c>
      <c r="S93" s="39">
        <v>44663.443055555559</v>
      </c>
    </row>
    <row r="94" spans="1:19" ht="52.8" hidden="1">
      <c r="A94" s="40">
        <v>86</v>
      </c>
      <c r="B94" s="35" t="s">
        <v>151</v>
      </c>
      <c r="C94" s="35" t="s">
        <v>346</v>
      </c>
      <c r="D94" s="36" t="s">
        <v>8</v>
      </c>
      <c r="E94" s="36" t="s">
        <v>23</v>
      </c>
      <c r="F94" s="41"/>
      <c r="G94" s="36" t="s">
        <v>344</v>
      </c>
      <c r="H94" s="36" t="s">
        <v>338</v>
      </c>
      <c r="I94" s="36"/>
      <c r="J94" s="36" t="s">
        <v>345</v>
      </c>
      <c r="K94" s="36" t="s">
        <v>339</v>
      </c>
      <c r="L94" s="36" t="s">
        <v>339</v>
      </c>
      <c r="M94" s="37"/>
      <c r="N94" s="37" t="s">
        <v>30</v>
      </c>
      <c r="O94" s="37"/>
      <c r="P94" s="39" t="s">
        <v>39</v>
      </c>
      <c r="Q94" s="39">
        <v>44663.443877314814</v>
      </c>
      <c r="R94" s="37" t="s">
        <v>39</v>
      </c>
      <c r="S94" s="39">
        <v>44663.443877314814</v>
      </c>
    </row>
    <row r="95" spans="1:19" ht="39.6" hidden="1">
      <c r="A95" s="40">
        <v>87</v>
      </c>
      <c r="B95" s="35" t="s">
        <v>152</v>
      </c>
      <c r="C95" s="35" t="s">
        <v>347</v>
      </c>
      <c r="D95" s="36" t="s">
        <v>8</v>
      </c>
      <c r="E95" s="36" t="s">
        <v>23</v>
      </c>
      <c r="F95" s="41"/>
      <c r="G95" s="36" t="s">
        <v>348</v>
      </c>
      <c r="H95" s="36" t="s">
        <v>53</v>
      </c>
      <c r="I95" s="36"/>
      <c r="J95" s="36" t="s">
        <v>349</v>
      </c>
      <c r="K95" s="36" t="s">
        <v>350</v>
      </c>
      <c r="L95" s="36" t="s">
        <v>350</v>
      </c>
      <c r="M95" s="37"/>
      <c r="N95" s="37" t="s">
        <v>30</v>
      </c>
      <c r="O95" s="37"/>
      <c r="P95" s="39" t="s">
        <v>39</v>
      </c>
      <c r="Q95" s="39">
        <v>44663.447430555556</v>
      </c>
      <c r="R95" s="37" t="s">
        <v>39</v>
      </c>
      <c r="S95" s="39">
        <v>44663.447430555556</v>
      </c>
    </row>
    <row r="96" spans="1:19" ht="39.6" hidden="1">
      <c r="A96" s="40">
        <v>88</v>
      </c>
      <c r="B96" s="35" t="s">
        <v>152</v>
      </c>
      <c r="C96" s="35" t="s">
        <v>351</v>
      </c>
      <c r="D96" s="36" t="s">
        <v>8</v>
      </c>
      <c r="E96" s="36" t="s">
        <v>23</v>
      </c>
      <c r="F96" s="41"/>
      <c r="G96" s="36" t="s">
        <v>352</v>
      </c>
      <c r="H96" s="36" t="s">
        <v>53</v>
      </c>
      <c r="I96" s="36"/>
      <c r="J96" s="36" t="s">
        <v>353</v>
      </c>
      <c r="K96" s="36" t="s">
        <v>354</v>
      </c>
      <c r="L96" s="36" t="s">
        <v>354</v>
      </c>
      <c r="M96" s="37"/>
      <c r="N96" s="37" t="s">
        <v>30</v>
      </c>
      <c r="O96" s="37"/>
      <c r="P96" s="39" t="s">
        <v>39</v>
      </c>
      <c r="Q96" s="39">
        <v>44663.45988425926</v>
      </c>
      <c r="R96" s="37" t="s">
        <v>39</v>
      </c>
      <c r="S96" s="39">
        <v>44663.45988425926</v>
      </c>
    </row>
    <row r="97" spans="1:19" ht="145.19999999999999" hidden="1">
      <c r="A97" s="40">
        <v>89</v>
      </c>
      <c r="B97" s="35" t="s">
        <v>152</v>
      </c>
      <c r="C97" s="35" t="s">
        <v>355</v>
      </c>
      <c r="D97" s="36" t="s">
        <v>8</v>
      </c>
      <c r="E97" s="36" t="s">
        <v>23</v>
      </c>
      <c r="F97" s="41"/>
      <c r="G97" s="36" t="s">
        <v>356</v>
      </c>
      <c r="H97" s="36" t="s">
        <v>357</v>
      </c>
      <c r="I97" s="36" t="s">
        <v>359</v>
      </c>
      <c r="J97" s="36" t="s">
        <v>358</v>
      </c>
      <c r="K97" s="36" t="s">
        <v>360</v>
      </c>
      <c r="L97" s="36" t="s">
        <v>360</v>
      </c>
      <c r="M97" s="37"/>
      <c r="N97" s="37" t="s">
        <v>30</v>
      </c>
      <c r="O97" s="37"/>
      <c r="P97" s="39" t="s">
        <v>39</v>
      </c>
      <c r="Q97" s="39">
        <v>44663.469733796293</v>
      </c>
      <c r="R97" s="37" t="s">
        <v>39</v>
      </c>
      <c r="S97" s="39">
        <v>44663.469733796293</v>
      </c>
    </row>
    <row r="98" spans="1:19" ht="145.19999999999999" hidden="1">
      <c r="A98" s="40">
        <v>90</v>
      </c>
      <c r="B98" s="35" t="s">
        <v>152</v>
      </c>
      <c r="C98" s="35" t="s">
        <v>361</v>
      </c>
      <c r="D98" s="36" t="s">
        <v>8</v>
      </c>
      <c r="E98" s="36" t="s">
        <v>24</v>
      </c>
      <c r="F98" s="41"/>
      <c r="G98" s="36" t="s">
        <v>365</v>
      </c>
      <c r="H98" s="36" t="s">
        <v>357</v>
      </c>
      <c r="I98" s="36" t="s">
        <v>362</v>
      </c>
      <c r="J98" s="36" t="s">
        <v>363</v>
      </c>
      <c r="K98" s="36" t="s">
        <v>360</v>
      </c>
      <c r="L98" s="36" t="s">
        <v>360</v>
      </c>
      <c r="M98" s="42" t="s">
        <v>364</v>
      </c>
      <c r="N98" s="37" t="s">
        <v>30</v>
      </c>
      <c r="O98" s="37"/>
      <c r="P98" s="39" t="s">
        <v>39</v>
      </c>
      <c r="Q98" s="39">
        <v>44663.582673611112</v>
      </c>
      <c r="R98" s="37" t="s">
        <v>39</v>
      </c>
      <c r="S98" s="39">
        <v>44663.582673611112</v>
      </c>
    </row>
    <row r="99" spans="1:19" ht="145.19999999999999" hidden="1">
      <c r="A99" s="40">
        <v>91</v>
      </c>
      <c r="B99" s="35" t="s">
        <v>152</v>
      </c>
      <c r="C99" s="35" t="s">
        <v>366</v>
      </c>
      <c r="D99" s="36" t="s">
        <v>8</v>
      </c>
      <c r="E99" s="36" t="s">
        <v>23</v>
      </c>
      <c r="F99" s="41"/>
      <c r="G99" s="36" t="s">
        <v>367</v>
      </c>
      <c r="H99" s="36" t="s">
        <v>357</v>
      </c>
      <c r="I99" s="36" t="s">
        <v>368</v>
      </c>
      <c r="J99" s="36" t="s">
        <v>369</v>
      </c>
      <c r="K99" s="36" t="s">
        <v>360</v>
      </c>
      <c r="L99" s="36" t="s">
        <v>360</v>
      </c>
      <c r="M99" s="37"/>
      <c r="N99" s="37" t="s">
        <v>30</v>
      </c>
      <c r="O99" s="37"/>
      <c r="P99" s="39" t="s">
        <v>39</v>
      </c>
      <c r="Q99" s="39">
        <v>44664.357581018521</v>
      </c>
      <c r="R99" s="37" t="s">
        <v>39</v>
      </c>
      <c r="S99" s="39">
        <v>44664.357581018521</v>
      </c>
    </row>
    <row r="100" spans="1:19" ht="145.19999999999999" hidden="1">
      <c r="A100" s="40">
        <v>92</v>
      </c>
      <c r="B100" s="35" t="s">
        <v>152</v>
      </c>
      <c r="C100" s="35" t="s">
        <v>370</v>
      </c>
      <c r="D100" s="36" t="s">
        <v>8</v>
      </c>
      <c r="E100" s="36" t="s">
        <v>24</v>
      </c>
      <c r="F100" s="41"/>
      <c r="G100" s="36" t="s">
        <v>371</v>
      </c>
      <c r="H100" s="36" t="s">
        <v>357</v>
      </c>
      <c r="I100" s="36" t="s">
        <v>372</v>
      </c>
      <c r="J100" s="36" t="s">
        <v>358</v>
      </c>
      <c r="K100" s="36" t="s">
        <v>360</v>
      </c>
      <c r="L100" s="36" t="s">
        <v>360</v>
      </c>
      <c r="M100" s="42" t="s">
        <v>373</v>
      </c>
      <c r="N100" s="37" t="s">
        <v>30</v>
      </c>
      <c r="O100" s="37"/>
      <c r="P100" s="39" t="s">
        <v>39</v>
      </c>
      <c r="Q100" s="39">
        <v>44664.364027777781</v>
      </c>
      <c r="R100" s="37" t="s">
        <v>39</v>
      </c>
      <c r="S100" s="39">
        <v>44664.364027777781</v>
      </c>
    </row>
    <row r="101" spans="1:19" ht="145.19999999999999" hidden="1">
      <c r="A101" s="40">
        <v>93</v>
      </c>
      <c r="B101" s="35" t="s">
        <v>152</v>
      </c>
      <c r="C101" s="35" t="s">
        <v>374</v>
      </c>
      <c r="D101" s="36" t="s">
        <v>12</v>
      </c>
      <c r="E101" s="36" t="s">
        <v>24</v>
      </c>
      <c r="F101" s="41"/>
      <c r="G101" s="36" t="s">
        <v>375</v>
      </c>
      <c r="H101" s="36" t="s">
        <v>357</v>
      </c>
      <c r="I101" s="36" t="s">
        <v>376</v>
      </c>
      <c r="J101" s="36" t="s">
        <v>358</v>
      </c>
      <c r="K101" s="36" t="s">
        <v>377</v>
      </c>
      <c r="L101" s="36" t="s">
        <v>360</v>
      </c>
      <c r="M101" s="42" t="s">
        <v>378</v>
      </c>
      <c r="N101" s="37" t="s">
        <v>30</v>
      </c>
      <c r="O101" s="37"/>
      <c r="P101" s="39" t="s">
        <v>39</v>
      </c>
      <c r="Q101" s="39">
        <v>44664.377615740741</v>
      </c>
      <c r="R101" s="37" t="s">
        <v>39</v>
      </c>
      <c r="S101" s="39">
        <v>44664.377615740741</v>
      </c>
    </row>
    <row r="102" spans="1:19" ht="145.19999999999999" hidden="1">
      <c r="A102" s="40">
        <v>94</v>
      </c>
      <c r="B102" s="35" t="s">
        <v>152</v>
      </c>
      <c r="C102" s="35" t="s">
        <v>379</v>
      </c>
      <c r="D102" s="36" t="s">
        <v>12</v>
      </c>
      <c r="E102" s="36" t="s">
        <v>24</v>
      </c>
      <c r="F102" s="41"/>
      <c r="G102" s="36" t="s">
        <v>380</v>
      </c>
      <c r="H102" s="36" t="s">
        <v>357</v>
      </c>
      <c r="I102" s="36" t="s">
        <v>381</v>
      </c>
      <c r="J102" s="36" t="s">
        <v>358</v>
      </c>
      <c r="K102" s="36" t="s">
        <v>377</v>
      </c>
      <c r="L102" s="36" t="s">
        <v>360</v>
      </c>
      <c r="M102" s="42" t="s">
        <v>382</v>
      </c>
      <c r="N102" s="37" t="s">
        <v>30</v>
      </c>
      <c r="O102" s="37"/>
      <c r="P102" s="39" t="s">
        <v>39</v>
      </c>
      <c r="Q102" s="39">
        <v>44664.3828587963</v>
      </c>
      <c r="R102" s="37" t="s">
        <v>39</v>
      </c>
      <c r="S102" s="39">
        <v>44664.3828587963</v>
      </c>
    </row>
    <row r="103" spans="1:19" ht="52.8" hidden="1">
      <c r="A103" s="40">
        <v>95</v>
      </c>
      <c r="B103" s="35" t="s">
        <v>152</v>
      </c>
      <c r="C103" s="35" t="s">
        <v>383</v>
      </c>
      <c r="D103" s="36" t="s">
        <v>8</v>
      </c>
      <c r="E103" s="36" t="s">
        <v>24</v>
      </c>
      <c r="F103" s="41"/>
      <c r="G103" s="36" t="s">
        <v>388</v>
      </c>
      <c r="H103" s="36"/>
      <c r="I103" s="36"/>
      <c r="J103" s="36" t="s">
        <v>389</v>
      </c>
      <c r="K103" s="36" t="s">
        <v>390</v>
      </c>
      <c r="L103" s="36" t="s">
        <v>391</v>
      </c>
      <c r="M103" s="42" t="s">
        <v>395</v>
      </c>
      <c r="N103" s="37" t="s">
        <v>30</v>
      </c>
      <c r="O103" s="37"/>
      <c r="P103" s="39" t="s">
        <v>39</v>
      </c>
      <c r="Q103" s="39">
        <v>44664.40425925926</v>
      </c>
      <c r="R103" s="37" t="s">
        <v>39</v>
      </c>
      <c r="S103" s="39">
        <v>44664.40425925926</v>
      </c>
    </row>
    <row r="104" spans="1:19" ht="52.8" hidden="1">
      <c r="A104" s="40">
        <v>96</v>
      </c>
      <c r="B104" s="35" t="s">
        <v>152</v>
      </c>
      <c r="C104" s="35" t="s">
        <v>392</v>
      </c>
      <c r="D104" s="36" t="s">
        <v>8</v>
      </c>
      <c r="E104" s="36" t="s">
        <v>24</v>
      </c>
      <c r="F104" s="41"/>
      <c r="G104" s="36" t="s">
        <v>384</v>
      </c>
      <c r="H104" s="36"/>
      <c r="I104" s="36"/>
      <c r="J104" s="36" t="s">
        <v>393</v>
      </c>
      <c r="K104" s="36" t="s">
        <v>386</v>
      </c>
      <c r="L104" s="36" t="s">
        <v>387</v>
      </c>
      <c r="M104" s="42" t="s">
        <v>394</v>
      </c>
      <c r="N104" s="37" t="s">
        <v>30</v>
      </c>
      <c r="O104" s="37"/>
      <c r="P104" s="39" t="s">
        <v>39</v>
      </c>
      <c r="Q104" s="39">
        <v>44664.408796296295</v>
      </c>
      <c r="R104" s="37" t="s">
        <v>39</v>
      </c>
      <c r="S104" s="39">
        <v>44664.408796296295</v>
      </c>
    </row>
    <row r="105" spans="1:19" ht="145.19999999999999" hidden="1">
      <c r="A105" s="40">
        <v>97</v>
      </c>
      <c r="B105" s="35" t="s">
        <v>152</v>
      </c>
      <c r="C105" s="35" t="s">
        <v>396</v>
      </c>
      <c r="D105" s="36" t="s">
        <v>12</v>
      </c>
      <c r="E105" s="36" t="s">
        <v>23</v>
      </c>
      <c r="F105" s="41"/>
      <c r="G105" s="36" t="s">
        <v>397</v>
      </c>
      <c r="H105" s="36" t="s">
        <v>357</v>
      </c>
      <c r="I105" s="36" t="s">
        <v>398</v>
      </c>
      <c r="J105" s="36" t="s">
        <v>358</v>
      </c>
      <c r="K105" s="36" t="s">
        <v>377</v>
      </c>
      <c r="L105" s="36" t="s">
        <v>399</v>
      </c>
      <c r="M105" s="37"/>
      <c r="N105" s="37" t="s">
        <v>30</v>
      </c>
      <c r="O105" s="37"/>
      <c r="P105" s="39" t="s">
        <v>39</v>
      </c>
      <c r="Q105" s="39">
        <v>44664.410636574074</v>
      </c>
      <c r="R105" s="37" t="s">
        <v>39</v>
      </c>
      <c r="S105" s="39">
        <v>44664.410636574074</v>
      </c>
    </row>
    <row r="106" spans="1:19" ht="145.19999999999999" hidden="1">
      <c r="A106" s="40">
        <v>98</v>
      </c>
      <c r="B106" s="35" t="s">
        <v>152</v>
      </c>
      <c r="C106" s="35" t="s">
        <v>400</v>
      </c>
      <c r="D106" s="36" t="s">
        <v>12</v>
      </c>
      <c r="E106" s="36" t="s">
        <v>23</v>
      </c>
      <c r="F106" s="41"/>
      <c r="G106" s="36" t="s">
        <v>401</v>
      </c>
      <c r="H106" s="36" t="s">
        <v>357</v>
      </c>
      <c r="I106" s="36" t="s">
        <v>402</v>
      </c>
      <c r="J106" s="36" t="s">
        <v>358</v>
      </c>
      <c r="K106" s="36" t="s">
        <v>403</v>
      </c>
      <c r="L106" s="36" t="s">
        <v>404</v>
      </c>
      <c r="M106" s="37"/>
      <c r="N106" s="37" t="s">
        <v>30</v>
      </c>
      <c r="O106" s="37"/>
      <c r="P106" s="39" t="s">
        <v>39</v>
      </c>
      <c r="Q106" s="39">
        <v>44664.451967592591</v>
      </c>
      <c r="R106" s="37" t="s">
        <v>39</v>
      </c>
      <c r="S106" s="39">
        <v>44664.451967592591</v>
      </c>
    </row>
    <row r="107" spans="1:19" ht="26.4" hidden="1">
      <c r="A107" s="40">
        <v>99</v>
      </c>
      <c r="B107" s="35" t="s">
        <v>152</v>
      </c>
      <c r="C107" s="35" t="s">
        <v>405</v>
      </c>
      <c r="D107" s="36" t="s">
        <v>8</v>
      </c>
      <c r="E107" s="36" t="s">
        <v>23</v>
      </c>
      <c r="F107" s="41"/>
      <c r="G107" s="36" t="s">
        <v>406</v>
      </c>
      <c r="H107" s="36" t="s">
        <v>385</v>
      </c>
      <c r="I107" s="36"/>
      <c r="J107" s="36" t="s">
        <v>407</v>
      </c>
      <c r="K107" s="36" t="s">
        <v>408</v>
      </c>
      <c r="L107" s="36" t="s">
        <v>408</v>
      </c>
      <c r="M107" s="37"/>
      <c r="N107" s="37" t="s">
        <v>31</v>
      </c>
      <c r="O107" s="37"/>
      <c r="P107" s="39" t="s">
        <v>39</v>
      </c>
      <c r="Q107" s="39">
        <v>44664.454641203702</v>
      </c>
      <c r="R107" s="37" t="s">
        <v>39</v>
      </c>
      <c r="S107" s="39">
        <v>44664.454641203702</v>
      </c>
    </row>
    <row r="108" spans="1:19" ht="26.4" hidden="1">
      <c r="A108" s="40">
        <v>100</v>
      </c>
      <c r="B108" s="35" t="s">
        <v>152</v>
      </c>
      <c r="C108" s="35" t="s">
        <v>409</v>
      </c>
      <c r="D108" s="36" t="s">
        <v>8</v>
      </c>
      <c r="E108" s="36" t="s">
        <v>23</v>
      </c>
      <c r="F108" s="41"/>
      <c r="G108" s="36" t="s">
        <v>413</v>
      </c>
      <c r="H108" s="36" t="s">
        <v>385</v>
      </c>
      <c r="I108" s="36"/>
      <c r="J108" s="36" t="s">
        <v>410</v>
      </c>
      <c r="K108" s="36" t="s">
        <v>411</v>
      </c>
      <c r="L108" s="36" t="s">
        <v>411</v>
      </c>
      <c r="M108" s="37"/>
      <c r="N108" s="37" t="s">
        <v>31</v>
      </c>
      <c r="O108" s="37"/>
      <c r="P108" s="39" t="s">
        <v>39</v>
      </c>
      <c r="Q108" s="39">
        <v>44664.458634259259</v>
      </c>
      <c r="R108" s="37" t="s">
        <v>39</v>
      </c>
      <c r="S108" s="39">
        <v>44664.458634259259</v>
      </c>
    </row>
    <row r="109" spans="1:19" ht="26.4" hidden="1">
      <c r="A109" s="40">
        <v>101</v>
      </c>
      <c r="B109" s="35" t="s">
        <v>152</v>
      </c>
      <c r="C109" s="35" t="s">
        <v>412</v>
      </c>
      <c r="D109" s="36" t="s">
        <v>8</v>
      </c>
      <c r="E109" s="36" t="s">
        <v>23</v>
      </c>
      <c r="F109" s="41"/>
      <c r="G109" s="36" t="s">
        <v>414</v>
      </c>
      <c r="H109" s="36" t="s">
        <v>385</v>
      </c>
      <c r="I109" s="36"/>
      <c r="J109" s="36" t="s">
        <v>415</v>
      </c>
      <c r="K109" s="36" t="s">
        <v>416</v>
      </c>
      <c r="L109" s="36" t="s">
        <v>416</v>
      </c>
      <c r="M109" s="37"/>
      <c r="N109" s="37" t="s">
        <v>31</v>
      </c>
      <c r="O109" s="37"/>
      <c r="P109" s="39" t="s">
        <v>39</v>
      </c>
      <c r="Q109" s="39">
        <v>44664.461886574078</v>
      </c>
      <c r="R109" s="37" t="s">
        <v>39</v>
      </c>
      <c r="S109" s="39">
        <v>44664.461886574078</v>
      </c>
    </row>
    <row r="110" spans="1:19" ht="39.6" hidden="1">
      <c r="A110" s="40">
        <v>102</v>
      </c>
      <c r="B110" s="35" t="s">
        <v>152</v>
      </c>
      <c r="C110" s="35" t="s">
        <v>417</v>
      </c>
      <c r="D110" s="36" t="s">
        <v>8</v>
      </c>
      <c r="E110" s="36" t="s">
        <v>23</v>
      </c>
      <c r="F110" s="41"/>
      <c r="G110" s="36" t="s">
        <v>418</v>
      </c>
      <c r="H110" s="36" t="s">
        <v>385</v>
      </c>
      <c r="I110" s="36"/>
      <c r="J110" s="36" t="s">
        <v>420</v>
      </c>
      <c r="K110" s="36" t="s">
        <v>419</v>
      </c>
      <c r="L110" s="36" t="s">
        <v>419</v>
      </c>
      <c r="M110" s="37"/>
      <c r="N110" s="37" t="s">
        <v>31</v>
      </c>
      <c r="O110" s="37"/>
      <c r="P110" s="39" t="s">
        <v>39</v>
      </c>
      <c r="Q110" s="39">
        <v>44664.465532407405</v>
      </c>
      <c r="R110" s="37" t="s">
        <v>39</v>
      </c>
      <c r="S110" s="39">
        <v>44664.465532407405</v>
      </c>
    </row>
    <row r="111" spans="1:19" ht="39.6" hidden="1">
      <c r="A111" s="40">
        <v>103</v>
      </c>
      <c r="B111" s="35" t="s">
        <v>152</v>
      </c>
      <c r="C111" s="35" t="s">
        <v>421</v>
      </c>
      <c r="D111" s="36" t="s">
        <v>8</v>
      </c>
      <c r="E111" s="36" t="s">
        <v>23</v>
      </c>
      <c r="F111" s="41"/>
      <c r="G111" s="36" t="s">
        <v>422</v>
      </c>
      <c r="H111" s="36" t="s">
        <v>385</v>
      </c>
      <c r="I111" s="36"/>
      <c r="J111" s="36" t="s">
        <v>423</v>
      </c>
      <c r="K111" s="36" t="s">
        <v>424</v>
      </c>
      <c r="L111" s="36" t="s">
        <v>424</v>
      </c>
      <c r="M111" s="37"/>
      <c r="N111" s="37" t="s">
        <v>31</v>
      </c>
      <c r="O111" s="37"/>
      <c r="P111" s="39" t="s">
        <v>39</v>
      </c>
      <c r="Q111" s="39">
        <v>44664.46943287037</v>
      </c>
      <c r="R111" s="37" t="s">
        <v>39</v>
      </c>
      <c r="S111" s="39">
        <v>44664.46943287037</v>
      </c>
    </row>
    <row r="112" spans="1:19" ht="39.6" hidden="1">
      <c r="A112" s="40">
        <v>104</v>
      </c>
      <c r="B112" s="35" t="s">
        <v>152</v>
      </c>
      <c r="C112" s="35" t="s">
        <v>427</v>
      </c>
      <c r="D112" s="36" t="s">
        <v>8</v>
      </c>
      <c r="E112" s="36" t="s">
        <v>23</v>
      </c>
      <c r="F112" s="41"/>
      <c r="G112" s="36" t="s">
        <v>428</v>
      </c>
      <c r="H112" s="36" t="s">
        <v>385</v>
      </c>
      <c r="I112" s="36" t="s">
        <v>430</v>
      </c>
      <c r="J112" s="36" t="s">
        <v>426</v>
      </c>
      <c r="K112" s="36" t="s">
        <v>235</v>
      </c>
      <c r="L112" s="36" t="s">
        <v>235</v>
      </c>
      <c r="M112" s="37"/>
      <c r="N112" s="37" t="s">
        <v>31</v>
      </c>
      <c r="O112" s="37"/>
      <c r="P112" s="39" t="s">
        <v>39</v>
      </c>
      <c r="Q112" s="39">
        <v>44664.472407407404</v>
      </c>
      <c r="R112" s="37" t="s">
        <v>39</v>
      </c>
      <c r="S112" s="39">
        <v>44664.472407407404</v>
      </c>
    </row>
    <row r="113" spans="1:19" ht="39.6" hidden="1">
      <c r="A113" s="40">
        <v>105</v>
      </c>
      <c r="B113" s="35" t="s">
        <v>152</v>
      </c>
      <c r="C113" s="35" t="s">
        <v>431</v>
      </c>
      <c r="D113" s="36" t="s">
        <v>12</v>
      </c>
      <c r="E113" s="36" t="s">
        <v>23</v>
      </c>
      <c r="F113" s="41"/>
      <c r="G113" s="36" t="s">
        <v>432</v>
      </c>
      <c r="H113" s="36" t="s">
        <v>385</v>
      </c>
      <c r="I113" s="36" t="s">
        <v>433</v>
      </c>
      <c r="J113" s="36" t="s">
        <v>426</v>
      </c>
      <c r="K113" s="36" t="s">
        <v>267</v>
      </c>
      <c r="L113" s="36" t="s">
        <v>267</v>
      </c>
      <c r="M113" s="37"/>
      <c r="N113" s="37" t="s">
        <v>31</v>
      </c>
      <c r="O113" s="37"/>
      <c r="P113" s="39" t="s">
        <v>39</v>
      </c>
      <c r="Q113" s="39">
        <v>44664.479583333334</v>
      </c>
      <c r="R113" s="37" t="s">
        <v>39</v>
      </c>
      <c r="S113" s="39">
        <v>44664.479583333334</v>
      </c>
    </row>
    <row r="114" spans="1:19" ht="26.4" hidden="1">
      <c r="A114" s="40">
        <v>106</v>
      </c>
      <c r="B114" s="35" t="s">
        <v>152</v>
      </c>
      <c r="C114" s="35" t="s">
        <v>434</v>
      </c>
      <c r="D114" s="36" t="s">
        <v>8</v>
      </c>
      <c r="E114" s="36" t="s">
        <v>23</v>
      </c>
      <c r="F114" s="41"/>
      <c r="G114" s="36" t="s">
        <v>435</v>
      </c>
      <c r="H114" s="36" t="s">
        <v>385</v>
      </c>
      <c r="I114" s="36"/>
      <c r="J114" s="36" t="s">
        <v>466</v>
      </c>
      <c r="K114" s="36" t="s">
        <v>237</v>
      </c>
      <c r="L114" s="36" t="s">
        <v>237</v>
      </c>
      <c r="M114" s="37"/>
      <c r="N114" s="37" t="s">
        <v>31</v>
      </c>
      <c r="O114" s="37"/>
      <c r="P114" s="39" t="s">
        <v>39</v>
      </c>
      <c r="Q114" s="39">
        <v>44664.480856481481</v>
      </c>
      <c r="R114" s="37" t="s">
        <v>39</v>
      </c>
      <c r="S114" s="39">
        <v>44664.480856481481</v>
      </c>
    </row>
    <row r="115" spans="1:19" ht="39.6" hidden="1">
      <c r="A115" s="40">
        <v>107</v>
      </c>
      <c r="B115" s="35" t="s">
        <v>152</v>
      </c>
      <c r="C115" s="35" t="s">
        <v>436</v>
      </c>
      <c r="D115" s="36" t="s">
        <v>8</v>
      </c>
      <c r="E115" s="36" t="s">
        <v>23</v>
      </c>
      <c r="F115" s="41"/>
      <c r="G115" s="36" t="s">
        <v>437</v>
      </c>
      <c r="H115" s="36" t="s">
        <v>385</v>
      </c>
      <c r="I115" s="36"/>
      <c r="J115" s="36" t="s">
        <v>465</v>
      </c>
      <c r="K115" s="36" t="s">
        <v>241</v>
      </c>
      <c r="L115" s="36" t="s">
        <v>241</v>
      </c>
      <c r="M115" s="37"/>
      <c r="N115" s="37" t="s">
        <v>31</v>
      </c>
      <c r="O115" s="37"/>
      <c r="P115" s="39" t="s">
        <v>39</v>
      </c>
      <c r="Q115" s="39">
        <v>44664.482824074075</v>
      </c>
      <c r="R115" s="37" t="s">
        <v>39</v>
      </c>
      <c r="S115" s="39">
        <v>44664.482824074075</v>
      </c>
    </row>
    <row r="116" spans="1:19" ht="26.4" hidden="1">
      <c r="A116" s="40">
        <v>108</v>
      </c>
      <c r="B116" s="35" t="s">
        <v>152</v>
      </c>
      <c r="C116" s="35" t="s">
        <v>438</v>
      </c>
      <c r="D116" s="36" t="s">
        <v>8</v>
      </c>
      <c r="E116" s="36" t="s">
        <v>23</v>
      </c>
      <c r="F116" s="41"/>
      <c r="G116" s="36" t="s">
        <v>439</v>
      </c>
      <c r="H116" s="36" t="s">
        <v>385</v>
      </c>
      <c r="I116" s="36"/>
      <c r="J116" s="36" t="s">
        <v>464</v>
      </c>
      <c r="K116" s="36" t="s">
        <v>237</v>
      </c>
      <c r="L116" s="36" t="s">
        <v>237</v>
      </c>
      <c r="M116" s="37"/>
      <c r="N116" s="37" t="s">
        <v>31</v>
      </c>
      <c r="O116" s="37"/>
      <c r="P116" s="39" t="s">
        <v>39</v>
      </c>
      <c r="Q116" s="39">
        <v>44664.483796296299</v>
      </c>
      <c r="R116" s="37" t="s">
        <v>39</v>
      </c>
      <c r="S116" s="39">
        <v>44664.483796296299</v>
      </c>
    </row>
    <row r="117" spans="1:19" ht="39.6" hidden="1">
      <c r="A117" s="40">
        <v>109</v>
      </c>
      <c r="B117" s="35" t="s">
        <v>152</v>
      </c>
      <c r="C117" s="35" t="s">
        <v>440</v>
      </c>
      <c r="D117" s="36" t="s">
        <v>8</v>
      </c>
      <c r="E117" s="36" t="s">
        <v>23</v>
      </c>
      <c r="F117" s="41"/>
      <c r="G117" s="36" t="s">
        <v>441</v>
      </c>
      <c r="H117" s="36" t="s">
        <v>385</v>
      </c>
      <c r="I117" s="36"/>
      <c r="J117" s="36" t="s">
        <v>463</v>
      </c>
      <c r="K117" s="36" t="s">
        <v>241</v>
      </c>
      <c r="L117" s="36" t="s">
        <v>241</v>
      </c>
      <c r="M117" s="37"/>
      <c r="N117" s="37" t="s">
        <v>31</v>
      </c>
      <c r="O117" s="37"/>
      <c r="P117" s="39" t="s">
        <v>39</v>
      </c>
      <c r="Q117" s="39">
        <v>44664.486631944441</v>
      </c>
      <c r="R117" s="37" t="s">
        <v>39</v>
      </c>
      <c r="S117" s="39">
        <v>44664.486631944441</v>
      </c>
    </row>
    <row r="118" spans="1:19" ht="26.4" hidden="1">
      <c r="A118" s="40">
        <v>110</v>
      </c>
      <c r="B118" s="35" t="s">
        <v>152</v>
      </c>
      <c r="C118" s="35" t="s">
        <v>442</v>
      </c>
      <c r="D118" s="36" t="s">
        <v>8</v>
      </c>
      <c r="E118" s="36" t="s">
        <v>24</v>
      </c>
      <c r="F118" s="41"/>
      <c r="G118" s="36" t="s">
        <v>443</v>
      </c>
      <c r="H118" s="36" t="s">
        <v>385</v>
      </c>
      <c r="I118" s="36"/>
      <c r="J118" s="36" t="s">
        <v>462</v>
      </c>
      <c r="K118" s="36" t="s">
        <v>237</v>
      </c>
      <c r="L118" s="36" t="s">
        <v>237</v>
      </c>
      <c r="M118" s="37" t="s">
        <v>450</v>
      </c>
      <c r="N118" s="37" t="s">
        <v>31</v>
      </c>
      <c r="O118" s="37"/>
      <c r="P118" s="39" t="s">
        <v>39</v>
      </c>
      <c r="Q118" s="39">
        <v>44664.487592592595</v>
      </c>
      <c r="R118" s="37" t="s">
        <v>39</v>
      </c>
      <c r="S118" s="39">
        <v>44664.487592592595</v>
      </c>
    </row>
    <row r="119" spans="1:19" ht="39.6" hidden="1">
      <c r="A119" s="40">
        <v>111</v>
      </c>
      <c r="B119" s="35" t="s">
        <v>152</v>
      </c>
      <c r="C119" s="35" t="s">
        <v>444</v>
      </c>
      <c r="D119" s="36" t="s">
        <v>8</v>
      </c>
      <c r="E119" s="36" t="s">
        <v>24</v>
      </c>
      <c r="F119" s="41"/>
      <c r="G119" s="36" t="s">
        <v>445</v>
      </c>
      <c r="H119" s="36" t="s">
        <v>385</v>
      </c>
      <c r="I119" s="36"/>
      <c r="J119" s="36" t="s">
        <v>461</v>
      </c>
      <c r="K119" s="36" t="s">
        <v>241</v>
      </c>
      <c r="L119" s="36" t="s">
        <v>241</v>
      </c>
      <c r="M119" s="37" t="s">
        <v>450</v>
      </c>
      <c r="N119" s="37" t="s">
        <v>31</v>
      </c>
      <c r="O119" s="37"/>
      <c r="P119" s="39" t="s">
        <v>39</v>
      </c>
      <c r="Q119" s="39">
        <v>44664.488888888889</v>
      </c>
      <c r="R119" s="37" t="s">
        <v>39</v>
      </c>
      <c r="S119" s="39">
        <v>44664.488888888889</v>
      </c>
    </row>
    <row r="120" spans="1:19" ht="26.4" hidden="1">
      <c r="A120" s="40">
        <v>112</v>
      </c>
      <c r="B120" s="35" t="s">
        <v>152</v>
      </c>
      <c r="C120" s="35" t="s">
        <v>446</v>
      </c>
      <c r="D120" s="36" t="s">
        <v>8</v>
      </c>
      <c r="E120" s="36" t="s">
        <v>24</v>
      </c>
      <c r="F120" s="41"/>
      <c r="G120" s="36" t="s">
        <v>263</v>
      </c>
      <c r="H120" s="36" t="s">
        <v>385</v>
      </c>
      <c r="I120" s="36"/>
      <c r="J120" s="36" t="s">
        <v>460</v>
      </c>
      <c r="K120" s="36" t="s">
        <v>237</v>
      </c>
      <c r="L120" s="36" t="s">
        <v>448</v>
      </c>
      <c r="M120" s="37" t="s">
        <v>450</v>
      </c>
      <c r="N120" s="37" t="s">
        <v>31</v>
      </c>
      <c r="O120" s="37"/>
      <c r="P120" s="39" t="s">
        <v>39</v>
      </c>
      <c r="Q120" s="39">
        <v>44664.49015046296</v>
      </c>
      <c r="R120" s="37" t="s">
        <v>39</v>
      </c>
      <c r="S120" s="39">
        <v>44664.49015046296</v>
      </c>
    </row>
    <row r="121" spans="1:19" ht="39.6" hidden="1">
      <c r="A121" s="40">
        <v>113</v>
      </c>
      <c r="B121" s="35" t="s">
        <v>152</v>
      </c>
      <c r="C121" s="35" t="s">
        <v>447</v>
      </c>
      <c r="D121" s="36" t="s">
        <v>8</v>
      </c>
      <c r="E121" s="36" t="s">
        <v>24</v>
      </c>
      <c r="F121" s="41"/>
      <c r="G121" s="36" t="s">
        <v>277</v>
      </c>
      <c r="H121" s="36" t="s">
        <v>385</v>
      </c>
      <c r="I121" s="36"/>
      <c r="J121" s="36" t="s">
        <v>459</v>
      </c>
      <c r="K121" s="36" t="s">
        <v>241</v>
      </c>
      <c r="L121" s="36" t="s">
        <v>449</v>
      </c>
      <c r="M121" s="37" t="s">
        <v>450</v>
      </c>
      <c r="N121" s="37" t="s">
        <v>31</v>
      </c>
      <c r="O121" s="37"/>
      <c r="P121" s="39" t="s">
        <v>39</v>
      </c>
      <c r="Q121" s="39">
        <v>44664.491388888891</v>
      </c>
      <c r="R121" s="37" t="s">
        <v>39</v>
      </c>
      <c r="S121" s="39">
        <v>44664.491388888891</v>
      </c>
    </row>
    <row r="122" spans="1:19" ht="39.6" hidden="1">
      <c r="A122" s="40">
        <v>114</v>
      </c>
      <c r="B122" s="35" t="s">
        <v>152</v>
      </c>
      <c r="C122" s="35" t="s">
        <v>451</v>
      </c>
      <c r="D122" s="36" t="s">
        <v>8</v>
      </c>
      <c r="E122" s="36" t="s">
        <v>23</v>
      </c>
      <c r="F122" s="41"/>
      <c r="G122" s="36" t="s">
        <v>452</v>
      </c>
      <c r="H122" s="36" t="s">
        <v>385</v>
      </c>
      <c r="I122" s="36"/>
      <c r="J122" s="36" t="s">
        <v>458</v>
      </c>
      <c r="K122" s="36" t="s">
        <v>237</v>
      </c>
      <c r="L122" s="36" t="s">
        <v>237</v>
      </c>
      <c r="M122" s="37"/>
      <c r="N122" s="37" t="s">
        <v>31</v>
      </c>
      <c r="O122" s="37"/>
      <c r="P122" s="39" t="s">
        <v>39</v>
      </c>
      <c r="Q122" s="39">
        <v>44664.494629629633</v>
      </c>
      <c r="R122" s="37" t="s">
        <v>39</v>
      </c>
      <c r="S122" s="39">
        <v>44664.494629629633</v>
      </c>
    </row>
    <row r="123" spans="1:19" ht="39.6" hidden="1">
      <c r="A123" s="40">
        <v>115</v>
      </c>
      <c r="B123" s="35" t="s">
        <v>152</v>
      </c>
      <c r="C123" s="35" t="s">
        <v>453</v>
      </c>
      <c r="D123" s="36" t="s">
        <v>8</v>
      </c>
      <c r="E123" s="36" t="s">
        <v>23</v>
      </c>
      <c r="F123" s="41"/>
      <c r="G123" s="36" t="s">
        <v>454</v>
      </c>
      <c r="H123" s="36" t="s">
        <v>385</v>
      </c>
      <c r="I123" s="36"/>
      <c r="J123" s="36" t="s">
        <v>457</v>
      </c>
      <c r="K123" s="36" t="s">
        <v>241</v>
      </c>
      <c r="L123" s="36" t="s">
        <v>241</v>
      </c>
      <c r="M123" s="37"/>
      <c r="N123" s="37" t="s">
        <v>31</v>
      </c>
      <c r="O123" s="37"/>
      <c r="P123" s="39" t="s">
        <v>39</v>
      </c>
      <c r="Q123" s="39">
        <v>44664.556203703702</v>
      </c>
      <c r="R123" s="37" t="s">
        <v>39</v>
      </c>
      <c r="S123" s="39">
        <v>44664.556203703702</v>
      </c>
    </row>
    <row r="124" spans="1:19" ht="39.6" hidden="1">
      <c r="A124" s="40">
        <v>116</v>
      </c>
      <c r="B124" s="35" t="s">
        <v>152</v>
      </c>
      <c r="C124" s="35" t="s">
        <v>455</v>
      </c>
      <c r="D124" s="36" t="s">
        <v>8</v>
      </c>
      <c r="E124" s="36" t="s">
        <v>24</v>
      </c>
      <c r="F124" s="41"/>
      <c r="G124" s="36" t="s">
        <v>456</v>
      </c>
      <c r="H124" s="36" t="s">
        <v>385</v>
      </c>
      <c r="I124" s="36"/>
      <c r="J124" s="36" t="s">
        <v>467</v>
      </c>
      <c r="K124" s="36" t="s">
        <v>468</v>
      </c>
      <c r="L124" s="36" t="s">
        <v>469</v>
      </c>
      <c r="M124" s="36" t="s">
        <v>470</v>
      </c>
      <c r="N124" s="37" t="s">
        <v>31</v>
      </c>
      <c r="O124" s="37"/>
      <c r="P124" s="39" t="s">
        <v>39</v>
      </c>
      <c r="Q124" s="39">
        <v>44664.559039351851</v>
      </c>
      <c r="R124" s="37" t="s">
        <v>39</v>
      </c>
      <c r="S124" s="39">
        <v>44664.559039351851</v>
      </c>
    </row>
    <row r="125" spans="1:19" ht="13.2" hidden="1">
      <c r="A125" s="40">
        <v>117</v>
      </c>
      <c r="B125" s="35"/>
      <c r="C125" s="35"/>
      <c r="D125" s="36"/>
      <c r="E125" s="36" t="s">
        <v>21</v>
      </c>
      <c r="F125" s="41"/>
      <c r="G125" s="36"/>
      <c r="H125" s="36"/>
      <c r="I125" s="36"/>
      <c r="J125" s="36"/>
      <c r="K125" s="36"/>
      <c r="L125" s="36"/>
      <c r="M125" s="37"/>
      <c r="N125" s="37"/>
      <c r="O125" s="37"/>
      <c r="P125" s="39">
        <v>44664.563530092593</v>
      </c>
      <c r="Q125" s="43"/>
      <c r="R125" s="37"/>
      <c r="S125" s="38"/>
    </row>
    <row r="126" spans="1:19" ht="15" hidden="1" customHeight="1">
      <c r="A126" s="40">
        <v>118</v>
      </c>
      <c r="B126" s="35" t="s">
        <v>152</v>
      </c>
      <c r="C126" s="35" t="s">
        <v>471</v>
      </c>
      <c r="D126" s="36" t="s">
        <v>8</v>
      </c>
      <c r="E126" s="36" t="s">
        <v>23</v>
      </c>
      <c r="F126" s="41"/>
      <c r="G126" s="36" t="s">
        <v>336</v>
      </c>
      <c r="H126" s="36" t="s">
        <v>385</v>
      </c>
      <c r="I126" s="36"/>
      <c r="J126" s="36" t="s">
        <v>472</v>
      </c>
      <c r="K126" s="36" t="s">
        <v>473</v>
      </c>
      <c r="L126" s="36" t="s">
        <v>473</v>
      </c>
      <c r="M126" s="37"/>
      <c r="N126" s="37" t="s">
        <v>30</v>
      </c>
      <c r="O126" s="37"/>
      <c r="P126" s="39" t="s">
        <v>39</v>
      </c>
      <c r="Q126" s="39">
        <v>44664.567777777775</v>
      </c>
      <c r="R126" s="37" t="s">
        <v>39</v>
      </c>
      <c r="S126" s="39">
        <v>44664.567777777775</v>
      </c>
    </row>
    <row r="127" spans="1:19" ht="52.8" hidden="1">
      <c r="A127" s="40">
        <v>119</v>
      </c>
      <c r="B127" s="35" t="s">
        <v>152</v>
      </c>
      <c r="C127" s="35" t="s">
        <v>474</v>
      </c>
      <c r="D127" s="36" t="s">
        <v>8</v>
      </c>
      <c r="E127" s="36" t="s">
        <v>23</v>
      </c>
      <c r="F127" s="41"/>
      <c r="G127" s="36" t="s">
        <v>341</v>
      </c>
      <c r="H127" s="36" t="s">
        <v>385</v>
      </c>
      <c r="I127" s="36"/>
      <c r="J127" s="36" t="s">
        <v>475</v>
      </c>
      <c r="K127" s="36" t="s">
        <v>476</v>
      </c>
      <c r="L127" s="36" t="s">
        <v>476</v>
      </c>
      <c r="M127" s="37"/>
      <c r="N127" s="37" t="s">
        <v>30</v>
      </c>
      <c r="O127" s="37"/>
      <c r="P127" s="39" t="s">
        <v>39</v>
      </c>
      <c r="Q127" s="39">
        <v>44664.569699074076</v>
      </c>
      <c r="R127" s="37" t="s">
        <v>39</v>
      </c>
      <c r="S127" s="39">
        <v>44664.569699074076</v>
      </c>
    </row>
    <row r="128" spans="1:19" ht="52.8" hidden="1">
      <c r="A128" s="40">
        <v>120</v>
      </c>
      <c r="B128" s="35" t="s">
        <v>152</v>
      </c>
      <c r="C128" s="35" t="s">
        <v>478</v>
      </c>
      <c r="D128" s="36" t="s">
        <v>8</v>
      </c>
      <c r="E128" s="36" t="s">
        <v>23</v>
      </c>
      <c r="F128" s="41"/>
      <c r="G128" s="36" t="s">
        <v>344</v>
      </c>
      <c r="H128" s="36" t="s">
        <v>385</v>
      </c>
      <c r="I128" s="36"/>
      <c r="J128" s="36" t="s">
        <v>477</v>
      </c>
      <c r="K128" s="36" t="s">
        <v>473</v>
      </c>
      <c r="L128" s="36" t="s">
        <v>473</v>
      </c>
      <c r="M128" s="37"/>
      <c r="N128" s="37" t="s">
        <v>30</v>
      </c>
      <c r="O128" s="37"/>
      <c r="P128" s="39" t="s">
        <v>39</v>
      </c>
      <c r="Q128" s="39">
        <v>44664.570451388892</v>
      </c>
      <c r="R128" s="37" t="s">
        <v>39</v>
      </c>
      <c r="S128" s="39">
        <v>44664.570451388892</v>
      </c>
    </row>
    <row r="129" spans="1:19" ht="79.2" hidden="1">
      <c r="A129" s="40">
        <v>120</v>
      </c>
      <c r="B129" s="35" t="s">
        <v>37</v>
      </c>
      <c r="C129" s="35" t="s">
        <v>504</v>
      </c>
      <c r="D129" s="36" t="s">
        <v>12</v>
      </c>
      <c r="E129" s="36" t="s">
        <v>23</v>
      </c>
      <c r="F129" s="41"/>
      <c r="G129" s="36" t="s">
        <v>505</v>
      </c>
      <c r="H129" s="36" t="s">
        <v>59</v>
      </c>
      <c r="I129" s="36" t="s">
        <v>506</v>
      </c>
      <c r="J129" s="36" t="s">
        <v>507</v>
      </c>
      <c r="K129" s="36" t="s">
        <v>110</v>
      </c>
      <c r="L129" s="36" t="s">
        <v>110</v>
      </c>
      <c r="M129" s="37"/>
      <c r="N129" s="37" t="s">
        <v>30</v>
      </c>
      <c r="O129" s="37"/>
      <c r="P129" s="39" t="s">
        <v>39</v>
      </c>
      <c r="Q129" s="43">
        <v>44665.485532407409</v>
      </c>
      <c r="R129" s="37" t="s">
        <v>39</v>
      </c>
      <c r="S129" s="43">
        <v>44665.485532407409</v>
      </c>
    </row>
    <row r="130" spans="1:19" ht="79.2" hidden="1">
      <c r="A130" s="40">
        <v>121</v>
      </c>
      <c r="B130" s="35" t="s">
        <v>37</v>
      </c>
      <c r="C130" s="35" t="s">
        <v>508</v>
      </c>
      <c r="D130" s="36" t="s">
        <v>12</v>
      </c>
      <c r="E130" s="36" t="s">
        <v>23</v>
      </c>
      <c r="F130" s="41"/>
      <c r="G130" s="36" t="s">
        <v>509</v>
      </c>
      <c r="H130" s="36" t="s">
        <v>59</v>
      </c>
      <c r="I130" s="36" t="s">
        <v>510</v>
      </c>
      <c r="J130" s="36" t="s">
        <v>511</v>
      </c>
      <c r="K130" s="36" t="s">
        <v>110</v>
      </c>
      <c r="L130" s="36" t="s">
        <v>110</v>
      </c>
      <c r="M130" s="37"/>
      <c r="N130" s="37" t="s">
        <v>30</v>
      </c>
      <c r="O130" s="37"/>
      <c r="P130" s="39" t="s">
        <v>39</v>
      </c>
      <c r="Q130" s="43">
        <v>44665.48710648148</v>
      </c>
      <c r="R130" s="37" t="s">
        <v>39</v>
      </c>
      <c r="S130" s="43">
        <v>44665.48710648148</v>
      </c>
    </row>
    <row r="131" spans="1:19" ht="79.2" hidden="1">
      <c r="A131" s="40">
        <v>122</v>
      </c>
      <c r="B131" s="35" t="s">
        <v>37</v>
      </c>
      <c r="C131" s="35" t="s">
        <v>516</v>
      </c>
      <c r="D131" s="36" t="s">
        <v>12</v>
      </c>
      <c r="E131" s="36" t="s">
        <v>23</v>
      </c>
      <c r="F131" s="41"/>
      <c r="G131" s="36" t="s">
        <v>513</v>
      </c>
      <c r="H131" s="36" t="s">
        <v>59</v>
      </c>
      <c r="I131" s="36" t="s">
        <v>514</v>
      </c>
      <c r="J131" s="36" t="s">
        <v>515</v>
      </c>
      <c r="K131" s="36" t="s">
        <v>110</v>
      </c>
      <c r="L131" s="36" t="s">
        <v>110</v>
      </c>
      <c r="M131" s="37"/>
      <c r="N131" s="37" t="s">
        <v>30</v>
      </c>
      <c r="O131" s="37"/>
      <c r="P131" s="39" t="s">
        <v>39</v>
      </c>
      <c r="Q131" s="43">
        <v>44665.488159722219</v>
      </c>
      <c r="R131" s="37" t="s">
        <v>39</v>
      </c>
      <c r="S131" s="43">
        <v>44665.488159722219</v>
      </c>
    </row>
    <row r="132" spans="1:19" ht="79.2" hidden="1">
      <c r="A132" s="40">
        <v>123</v>
      </c>
      <c r="B132" s="35" t="s">
        <v>37</v>
      </c>
      <c r="C132" s="35" t="s">
        <v>512</v>
      </c>
      <c r="D132" s="36" t="s">
        <v>12</v>
      </c>
      <c r="E132" s="36" t="s">
        <v>23</v>
      </c>
      <c r="F132" s="41"/>
      <c r="G132" s="36" t="s">
        <v>517</v>
      </c>
      <c r="H132" s="36" t="s">
        <v>59</v>
      </c>
      <c r="I132" s="36" t="s">
        <v>518</v>
      </c>
      <c r="J132" s="36" t="s">
        <v>519</v>
      </c>
      <c r="K132" s="36" t="s">
        <v>110</v>
      </c>
      <c r="L132" s="36" t="s">
        <v>110</v>
      </c>
      <c r="M132" s="37"/>
      <c r="N132" s="37" t="s">
        <v>30</v>
      </c>
      <c r="O132" s="37"/>
      <c r="P132" s="39" t="s">
        <v>39</v>
      </c>
      <c r="Q132" s="43">
        <v>44665.489270833335</v>
      </c>
      <c r="R132" s="43" t="s">
        <v>39</v>
      </c>
      <c r="S132" s="43">
        <v>44665.489270833335</v>
      </c>
    </row>
    <row r="133" spans="1:19" ht="66">
      <c r="A133" s="40">
        <v>124</v>
      </c>
      <c r="B133" s="35" t="s">
        <v>38</v>
      </c>
      <c r="C133" s="35" t="s">
        <v>525</v>
      </c>
      <c r="D133" s="36" t="s">
        <v>12</v>
      </c>
      <c r="E133" s="36" t="s">
        <v>23</v>
      </c>
      <c r="F133" s="41"/>
      <c r="G133" s="36" t="s">
        <v>526</v>
      </c>
      <c r="H133" s="36"/>
      <c r="I133" s="36" t="s">
        <v>529</v>
      </c>
      <c r="J133" s="36" t="s">
        <v>554</v>
      </c>
      <c r="K133" s="36" t="s">
        <v>128</v>
      </c>
      <c r="L133" s="36" t="s">
        <v>128</v>
      </c>
      <c r="M133" s="37"/>
      <c r="N133" s="37" t="s">
        <v>31</v>
      </c>
      <c r="O133" s="37"/>
      <c r="P133" s="39" t="s">
        <v>39</v>
      </c>
      <c r="Q133" s="43">
        <v>44665.535682870373</v>
      </c>
      <c r="R133" s="37" t="s">
        <v>39</v>
      </c>
      <c r="S133" s="43">
        <v>44665.535682870373</v>
      </c>
    </row>
    <row r="134" spans="1:19" ht="79.2">
      <c r="A134" s="40">
        <v>125</v>
      </c>
      <c r="B134" s="35" t="s">
        <v>38</v>
      </c>
      <c r="C134" s="35" t="s">
        <v>530</v>
      </c>
      <c r="D134" s="36" t="s">
        <v>12</v>
      </c>
      <c r="E134" s="36" t="s">
        <v>24</v>
      </c>
      <c r="F134" s="41"/>
      <c r="G134" s="36" t="s">
        <v>531</v>
      </c>
      <c r="H134" s="36" t="s">
        <v>125</v>
      </c>
      <c r="I134" s="36" t="s">
        <v>532</v>
      </c>
      <c r="J134" s="36" t="s">
        <v>555</v>
      </c>
      <c r="K134" s="36" t="s">
        <v>128</v>
      </c>
      <c r="L134" s="36" t="s">
        <v>126</v>
      </c>
      <c r="M134" s="42" t="s">
        <v>539</v>
      </c>
      <c r="N134" s="37" t="s">
        <v>31</v>
      </c>
      <c r="O134" s="37"/>
      <c r="P134" s="39" t="s">
        <v>39</v>
      </c>
      <c r="Q134" s="43">
        <v>44665.541458333333</v>
      </c>
      <c r="R134" s="37" t="s">
        <v>39</v>
      </c>
      <c r="S134" s="43">
        <v>44665.541458333333</v>
      </c>
    </row>
    <row r="135" spans="1:19" ht="79.2">
      <c r="A135" s="40">
        <v>126</v>
      </c>
      <c r="B135" s="35" t="s">
        <v>38</v>
      </c>
      <c r="C135" s="35" t="s">
        <v>545</v>
      </c>
      <c r="D135" s="36" t="s">
        <v>12</v>
      </c>
      <c r="E135" s="36" t="s">
        <v>24</v>
      </c>
      <c r="F135" s="41"/>
      <c r="G135" s="36" t="s">
        <v>546</v>
      </c>
      <c r="H135" s="36" t="s">
        <v>125</v>
      </c>
      <c r="I135" s="36" t="s">
        <v>547</v>
      </c>
      <c r="J135" s="36" t="s">
        <v>556</v>
      </c>
      <c r="K135" s="36" t="s">
        <v>128</v>
      </c>
      <c r="L135" s="36" t="s">
        <v>126</v>
      </c>
      <c r="M135" s="42" t="s">
        <v>540</v>
      </c>
      <c r="N135" s="37" t="s">
        <v>31</v>
      </c>
      <c r="O135" s="37"/>
      <c r="P135" s="39" t="s">
        <v>39</v>
      </c>
      <c r="Q135" s="43">
        <v>44665.546203703707</v>
      </c>
      <c r="R135" s="37" t="s">
        <v>39</v>
      </c>
      <c r="S135" s="43">
        <v>44665.546203703707</v>
      </c>
    </row>
    <row r="136" spans="1:19" ht="79.2">
      <c r="A136" s="40">
        <v>127</v>
      </c>
      <c r="B136" s="35" t="s">
        <v>38</v>
      </c>
      <c r="C136" s="35" t="s">
        <v>548</v>
      </c>
      <c r="D136" s="36" t="s">
        <v>12</v>
      </c>
      <c r="E136" s="36" t="s">
        <v>24</v>
      </c>
      <c r="F136" s="41"/>
      <c r="G136" s="36" t="s">
        <v>549</v>
      </c>
      <c r="H136" s="36" t="s">
        <v>125</v>
      </c>
      <c r="I136" s="36" t="s">
        <v>550</v>
      </c>
      <c r="J136" s="36" t="s">
        <v>560</v>
      </c>
      <c r="K136" s="36" t="s">
        <v>128</v>
      </c>
      <c r="L136" s="36" t="s">
        <v>126</v>
      </c>
      <c r="M136" s="42" t="s">
        <v>551</v>
      </c>
      <c r="N136" s="37" t="s">
        <v>31</v>
      </c>
      <c r="O136" s="37"/>
      <c r="P136" s="39" t="s">
        <v>39</v>
      </c>
      <c r="Q136" s="43">
        <v>44665.5471412037</v>
      </c>
      <c r="R136" s="37" t="s">
        <v>39</v>
      </c>
      <c r="S136" s="43">
        <v>44665.5471412037</v>
      </c>
    </row>
    <row r="138" spans="1:19" ht="15" customHeight="1">
      <c r="B138" s="32" t="s">
        <v>10</v>
      </c>
      <c r="C138" s="32" t="s">
        <v>22</v>
      </c>
      <c r="E138" s="18"/>
    </row>
    <row r="139" spans="1:19" ht="15" customHeight="1">
      <c r="B139" s="33" t="str" cm="1">
        <f t="array" ref="B139:C142">Dashboard!H34:I37</f>
        <v>Passed</v>
      </c>
      <c r="C139" s="33">
        <v>94</v>
      </c>
      <c r="D139" s="18"/>
      <c r="E139" s="18"/>
    </row>
    <row r="140" spans="1:19" ht="15" customHeight="1">
      <c r="B140" s="33" t="str">
        <v>Failed</v>
      </c>
      <c r="C140" s="33">
        <v>32</v>
      </c>
    </row>
    <row r="141" spans="1:19" ht="15" customHeight="1">
      <c r="B141" s="33" t="str">
        <v>Not Executed</v>
      </c>
      <c r="C141" s="33">
        <v>0</v>
      </c>
    </row>
    <row r="142" spans="1:19" ht="15" customHeight="1">
      <c r="B142" s="33" t="str">
        <v>Not Ready</v>
      </c>
      <c r="C142" s="33">
        <v>1</v>
      </c>
    </row>
    <row r="143" spans="1:19" ht="15" customHeight="1">
      <c r="B143" s="34" t="s">
        <v>34</v>
      </c>
      <c r="C143" s="34">
        <f>SUM(C139:C142)</f>
        <v>127</v>
      </c>
    </row>
  </sheetData>
  <mergeCells count="4">
    <mergeCell ref="C5:D5"/>
    <mergeCell ref="C3:D3"/>
    <mergeCell ref="C4:D4"/>
    <mergeCell ref="C6:D6"/>
  </mergeCells>
  <dataValidations count="5">
    <dataValidation type="list" allowBlank="1" showInputMessage="1" showErrorMessage="1" sqref="Q10 S10 Q16:Q41 S16:S21 S27:S28 O17:R30 O31:Q35 S48:S136 S30:S46 O10:P136 R10:R131 O36:R136" xr:uid="{797079AC-8B14-9B4A-BC48-F63FF901A58C}">
      <formula1>picList</formula1>
    </dataValidation>
    <dataValidation type="list" allowBlank="1" showInputMessage="1" showErrorMessage="1" sqref="D10:D136" xr:uid="{00000000-0002-0000-0000-000001000000}">
      <formula1>typeTestList</formula1>
    </dataValidation>
    <dataValidation type="list" allowBlank="1" showInputMessage="1" showErrorMessage="1" sqref="B10:B136" xr:uid="{00000000-0002-0000-0000-000000000000}">
      <formula1>pageList</formula1>
    </dataValidation>
    <dataValidation type="list" allowBlank="1" showInputMessage="1" showErrorMessage="1" sqref="E10:E136" xr:uid="{AB3C7D48-6248-BF44-BC67-9601FA3FEF51}">
      <formula1>statusList</formula1>
    </dataValidation>
    <dataValidation type="list" allowBlank="1" showInputMessage="1" showErrorMessage="1" sqref="N10:N136" xr:uid="{B8EBAFA2-42E0-C149-B2F2-1BAED273F9DD}">
      <formula1>priorityList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A10:E136 G10:S136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2022-04-14T07:27:47Z</dcterms:modified>
  <cp:category/>
  <cp:contentStatus/>
</cp:coreProperties>
</file>