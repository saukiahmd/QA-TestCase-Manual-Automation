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uki\xa-bootcamp-batch-283-qa-teknologi\007. Sauki\002. WEB Tokopedia\"/>
    </mc:Choice>
  </mc:AlternateContent>
  <xr:revisionPtr revIDLastSave="0" documentId="13_ncr:1_{523D1394-D2D2-4A5C-A58C-5AC67AA3B8B5}" xr6:coauthVersionLast="47" xr6:coauthVersionMax="47" xr10:uidLastSave="{00000000-0000-0000-0000-000000000000}"/>
  <bookViews>
    <workbookView xWindow="-108" yWindow="-108" windowWidth="23256" windowHeight="12576" activeTab="1" xr2:uid="{00000000-000D-0000-FFFF-FFFF00000000}"/>
  </bookViews>
  <sheets>
    <sheet name="Dashboard" sheetId="12" r:id="rId1"/>
    <sheet name="Test Case" sheetId="9" r:id="rId2"/>
    <sheet name="MACRO" sheetId="11" state="hidden" r:id="rId3"/>
  </sheets>
  <definedNames>
    <definedName name="_xlnm._FilterDatabase" localSheetId="1" hidden="1">'Test Case'!$A$9:$R$9</definedName>
    <definedName name="cityList">#REF!</definedName>
    <definedName name="list_test_case">'Test Case'!$A$10:$R$45</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C39" i="12" l="1"/>
  <c r="C37" i="12"/>
  <c r="C38" i="12"/>
  <c r="O37" i="12"/>
  <c r="O38" i="12"/>
  <c r="O39" i="12"/>
  <c r="O40" i="12"/>
  <c r="C34" i="12" l="1"/>
  <c r="C35" i="12"/>
  <c r="C36" i="12"/>
  <c r="O34" i="12"/>
  <c r="O35" i="12"/>
  <c r="O36" i="12"/>
  <c r="L34" i="12"/>
  <c r="L35" i="12"/>
  <c r="L36" i="12"/>
  <c r="L37" i="12"/>
  <c r="I35" i="12"/>
  <c r="I36" i="12"/>
  <c r="I37" i="12"/>
  <c r="I34" i="12"/>
  <c r="F34" i="12"/>
  <c r="F35" i="12"/>
  <c r="B49" i="9" l="1" a="1"/>
  <c r="B49" i="9" s="1"/>
  <c r="B50" i="9" l="1"/>
  <c r="C50" i="9"/>
  <c r="B51" i="9"/>
  <c r="C51" i="9"/>
  <c r="B52" i="9"/>
  <c r="C49" i="9"/>
  <c r="C52" i="9"/>
  <c r="C53" i="9" l="1"/>
  <c r="J4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N9"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<sst xmlns="http://schemas.openxmlformats.org/spreadsheetml/2006/main" count="507" uniqueCount="197">
  <si>
    <t>NO.</t>
  </si>
  <si>
    <t>FUNGTION</t>
  </si>
  <si>
    <t>TEST STEPS</t>
  </si>
  <si>
    <t>EXPECTED RESULT</t>
  </si>
  <si>
    <t>ACTUAL RESULT</t>
  </si>
  <si>
    <t>TEST TYPE</t>
  </si>
  <si>
    <t>STATUS</t>
  </si>
  <si>
    <t>NOTES</t>
  </si>
  <si>
    <t>Positive</t>
  </si>
  <si>
    <t>Adit</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</si>
  <si>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</si>
  <si>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</si>
  <si>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</si>
  <si>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</si>
  <si>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</si>
  <si>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TC130001</t>
  </si>
  <si>
    <t>DESCRIPTION</t>
  </si>
  <si>
    <t>PREREQUISITES</t>
  </si>
  <si>
    <t>CREATED
BY</t>
  </si>
  <si>
    <t>CREATED
ON</t>
  </si>
  <si>
    <t>EXECUTED
BY</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</si>
  <si>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</si>
  <si>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</si>
  <si>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</si>
  <si>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</si>
  <si>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</si>
  <si>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</si>
  <si>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</si>
  <si>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</si>
  <si>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</si>
  <si>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</si>
  <si>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</si>
  <si>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</si>
  <si>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</si>
  <si>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</si>
  <si>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</si>
  <si>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</si>
  <si>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</si>
  <si>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1.1. Login</t>
  </si>
  <si>
    <t>1.2. Pencarian</t>
  </si>
  <si>
    <t>1.3. Checkout</t>
  </si>
  <si>
    <t>Lathifah</t>
  </si>
  <si>
    <t>Priscilla</t>
  </si>
  <si>
    <t>Ardhi</t>
  </si>
  <si>
    <t>Antok</t>
  </si>
  <si>
    <t>Rizka</t>
  </si>
  <si>
    <t>Sauki</t>
  </si>
  <si>
    <t>TC110001</t>
  </si>
  <si>
    <t>Login menggunakan email dan password yang valid</t>
  </si>
  <si>
    <t>1. Mozilla Firefox,
2. Email dan password yang valid</t>
  </si>
  <si>
    <t>Masuk kehalam home tokopedia menggunakan email</t>
  </si>
  <si>
    <t>1. Cek ke device dengan nomor telp yang terdaftar</t>
  </si>
  <si>
    <t>TC120001</t>
  </si>
  <si>
    <t>Mencari produk "Sepatu" menggunakan akun yang telah terdaftar</t>
  </si>
  <si>
    <t>1. TC110001,
2. Masukkan keyword "Sepatu" pada kolom pencarian,
3. Klik ikon "Search"</t>
  </si>
  <si>
    <t>1. TC110001,
2. Keyword pencarian adalah sepatu</t>
  </si>
  <si>
    <t>Menampilkan pencarian produk "Sepatu" dalam bentuk card view</t>
  </si>
  <si>
    <t>Berhasil menampilkan pencarian produk "Sepatu" dalam bentuk card view</t>
  </si>
  <si>
    <t>Checkout produk "Sepatu" menggunakan akun yang telah terdaftar</t>
  </si>
  <si>
    <t>1. TC110001,
2. TC120001</t>
  </si>
  <si>
    <t xml:space="preserve">1. Berhasil menampilkan pop-up untuk proses alamat pengiriman,
2. Berhasil menampilkan pop-up untuk lokasi pengiriman,
3. Berhasil menampilkan pop-up untuk pinpoint lokasi,
4. Berhasil menampilkan pop-up detail alamat,
5. Berhasil menampilkan pop-up pembayaran,
6. Berhasil menampilkan pop-up kode promo,
</t>
  </si>
  <si>
    <t>1. TC110001,
2. TC120001,
3. Klik produk sepatu dalam bentuk card view,
4. Masuk kehalaman deskripsi produk,
5. Klik pilih varian warna yang diinginkan,
6. Klik pilih ukuran sepatu dalam bentuk dropdown,
7. Atur jumlah sepatu yang dinginkan sesuai stok,
8. Masukkan catatan yang diperlukan,
9. Klik beli langsung,
10. Klik tambah alamat baru,
11. Masukkan lokasi tujuan pengiriman,
12. Tentukan pinpoint lokasi,
13. Masukkan label alamat,
14. Masukkan alamat lengkap,
15. Masukkan catatan untuk kurir(Optional),
16. Masukkan nama penerima,
17. Masukkan nomor hp,
18. Klik tombol simpan,
19. Klik pilih alamat sesuai yang sudah didaftarkan sebelumnya,
20. Klik pilih pengiriman dalam bentuk drop down,
21. Klik pilih kurir dalam bentuk dropdown,
22. Klik pilih pembayaran menggunakan bca,
23. Klik pilih promo yang aktif,
24. Klik bayar</t>
  </si>
  <si>
    <t>Menampilkan Halaman Checkout</t>
  </si>
  <si>
    <t>TC110002</t>
  </si>
  <si>
    <t>Login menggunakan email yang tidak valid</t>
  </si>
  <si>
    <t>1.Mozilla Firefox</t>
  </si>
  <si>
    <t>1. Membuka browser mozilla firefox,
2. Masuk kehalaman tokopedia menggunakan base URL,
3. Klik tombol "Masuk",
4. Masukkan email pada kolom email,
5. Klik tombol selanjutnya,
6. Masukkan kata sandi pada kolom "kata sandi",
7. Klik "Masuk",
8. Pilih metode verifikasi "SMS ke-",
9. Masukkan kode verifikasi SMS yang telah diterima</t>
  </si>
  <si>
    <t>1. Membuka browser mozilla firefox,
2. Masuk kehalaman tokopedia menggunakan base URL,
3. Klik tombol "Masuk",
4. Masukkan email pada kolom email,
5. Klik tombol selanjutnya</t>
  </si>
  <si>
    <t>Menampilkan pop-up email belum terdaftar</t>
  </si>
  <si>
    <t>1. Berhasil menampilkan pop-up email belum terdaftar</t>
  </si>
  <si>
    <t>3/30/2022  13:21:34 PM</t>
  </si>
  <si>
    <t>Login menggunakan email tanpa spesial character "@"</t>
  </si>
  <si>
    <t>Tidak bisa klik tombol selanjutnya</t>
  </si>
  <si>
    <t>1. Berhasil untuk tidak bisa klik tombol selanjutnya</t>
  </si>
  <si>
    <t xml:space="preserve">1. Membuka browser mozilla firefox,
2. Masuk kehalaman tokopedia menggunakan base URL,
3. Klik tombol "Masuk",
4. Masukkan email pada kolom email,
5. Klik tombol selanjutnya
</t>
  </si>
  <si>
    <t>Login menggunakan email tanpa spesial character "."</t>
  </si>
  <si>
    <t>1. Mozilla Firefox</t>
  </si>
  <si>
    <t>1. Membuka browser mozilla firefox,
2. Masuk kehalaman tokopedia menggunakan base URL,
3. Klik tombol "Masuk",
4. Masukkan email pada kolom email,
5. Klik tombol selanjutnya,
6. Masukkan kata sandi pada kolom "kata sandi",
7. Klik "Masuk"</t>
  </si>
  <si>
    <t>Login menggunakan email yang valid dan password yang tidak valid</t>
  </si>
  <si>
    <t>1. Menampilkan border merah di kolom kata sandi (Email atau kata sandi salah)</t>
  </si>
  <si>
    <t>Menampilkan border merah di kolom kata sandi (Email atau kata sandi salah)</t>
  </si>
  <si>
    <t>Login menggunakan account google</t>
  </si>
  <si>
    <t>1. Mozilla Firefox,
2. Mempunyai akun google</t>
  </si>
  <si>
    <t>1. Membuka browser mozilla firefox,
2. Masuk kehalaman tokopedia menggunakan base URL,
3. Klik tombol "Masuk",
4. Klik tombol google, 
5. Pilih metode verifikasi "SMS ke-",
6. Masukkan kode verifikasi SMS yang telah diterima</t>
  </si>
  <si>
    <t>1. Berhasil menampilkan pop-up untuk proses login,
2. Berhasil login dan masuk kehalaman home tokopedia menggunakan account google</t>
  </si>
  <si>
    <t>1. Berhasil menampilkan pop-up untuk proses login,
2. Berhasil login dan masuk kehalaman home tokopedia menggunakan email</t>
  </si>
  <si>
    <t>TC110007</t>
  </si>
  <si>
    <t>TC110003</t>
  </si>
  <si>
    <t>TC110004</t>
  </si>
  <si>
    <t>TC110005</t>
  </si>
  <si>
    <t>TC110006</t>
  </si>
  <si>
    <t>Login menggunakan scan qr code</t>
  </si>
  <si>
    <t>1. Mozilla Firefox,
2. Mempunyai akun tokopedia di device lain</t>
  </si>
  <si>
    <t>1. Membuka browser mozilla firefox,
2. Masuk kehalaman tokopedia menggunakan base URL,
3. Klik tombol "Masuk",
4. Klik tombol "Scan Qr Code",
5. Scan barcode tersebut menggunakan device</t>
  </si>
  <si>
    <t>Masuk kehalam home tokopedia menggunakan barcode</t>
  </si>
  <si>
    <t>1. Berhasil menampilkan pop-up untuk proses login,
2. Berhasil login dan masuk kehalaman home tokopedia menggunakan scan barcode</t>
  </si>
  <si>
    <t>1. Cek ke device dan masuk tokopedia dengan akun yang terdaftar</t>
  </si>
  <si>
    <t>TC110008</t>
  </si>
  <si>
    <t>Login menggunakan email tanpa spesial karakter "@" dan "."</t>
  </si>
  <si>
    <t>1. Membuka browser mozilla firefox,
2. Masuk kehalaman tokopedia menggunakan base URL,
3. Klik tombol "Masuk",
4. Masukkan email pada kolom email</t>
  </si>
  <si>
    <t>TC110009</t>
  </si>
  <si>
    <t>1. Membuka browser mozilla firefox,
2. Masuk kehalaman tokopedia menggunakan base URL,
3. Klik tombol "Masuk",
4. Masukkan no handphone,
7. Klik "Selanjutnya",
8. Pilih metode verifikasi "SMS ke-",
9. Masukkan kode verifikasi SMS yang telah diterima</t>
  </si>
  <si>
    <t>TC110010</t>
  </si>
  <si>
    <t>1. Berhasil menampilkan pop-up untuk proses login,
2. Berhasil login dan masuk kehalaman home tokopedia</t>
  </si>
  <si>
    <t>Login menggunakan no handphone dengan metode SMS</t>
  </si>
  <si>
    <t>Login menggunakan no handphone dengan metode notifikasi ke perangkatmu</t>
  </si>
  <si>
    <t>Masuk kehalaman home tokopedia menggunakan no handphone dengan metode sms</t>
  </si>
  <si>
    <t>Masuk kehalaman home tokopedia menggunakan no handphone dengan metode notifikasi ke perangkatmu</t>
  </si>
  <si>
    <t>1. Membuka browser mozilla firefox,
2. Masuk kehalaman tokopedia menggunakan base URL,
3. Klik tombol "Masuk",
4. Masukkan no handphone,
7. Klik "Selanjutnya",
8. Pilih metode verifikasi "Notifikasi ke perangkatmu",
9. Klik kirim sekarang,</t>
  </si>
  <si>
    <t>TC110011</t>
  </si>
  <si>
    <t>Login menggunakan no handphone memakai format 62 dengan metode sms</t>
  </si>
  <si>
    <t>TC110012</t>
  </si>
  <si>
    <t>Login menggunakan no handphone dengan memakai spesial karakter</t>
  </si>
  <si>
    <t>1. Membuka browser mozilla firefox,
2. Masuk kehalaman tokopedia menggunakan base URL,
3. Klik tombol "Masuk",
4. Masukkan no handphone,
7. Klik "Selanjutnya"</t>
  </si>
  <si>
    <t>1. Berhasil tidak bisa klik tombol selanjutnya</t>
  </si>
  <si>
    <t>TC110013</t>
  </si>
  <si>
    <t>Login menggunakan no handphone tanpa "0" di angka pertama</t>
  </si>
  <si>
    <t>Login menggunakan no handphone tanpa "62" di angka pertama</t>
  </si>
  <si>
    <t>Login menggunakan no handphone dimana panjang angka kurang dari 8</t>
  </si>
  <si>
    <t>Login menggunakan no handphone dengan memakai alfabet</t>
  </si>
  <si>
    <t>TC110014</t>
  </si>
  <si>
    <t>TC110015</t>
  </si>
  <si>
    <t>TC110016</t>
  </si>
  <si>
    <t>1. Berhasil  tidak bisa klik tombol selanjutnya</t>
  </si>
  <si>
    <t>TC120002</t>
  </si>
  <si>
    <t>Menampilkan deskripsi produk sesuai dengan gambar yang dpilih</t>
  </si>
  <si>
    <t>1. Berhasil menampilkan deskripsi produk sesuai dengan gambar yang dipilih</t>
  </si>
  <si>
    <t>TC120003</t>
  </si>
  <si>
    <t>1. TC110001</t>
  </si>
  <si>
    <t>Memilih produk "sepatu" didalam pop-up sugesti dibagian terakhir dilihat menggunakan akun yang telah terdaftar</t>
  </si>
  <si>
    <t>TC120004</t>
  </si>
  <si>
    <t>TC120005</t>
  </si>
  <si>
    <t>TC120006</t>
  </si>
  <si>
    <t>Memilih filter jenis toko "official store" didalam pencarian produk "sepatu"</t>
  </si>
  <si>
    <t>Memilih filter jenis toko multiple "official store dan power merchant pro" didalam pencarian produk "sepatu"</t>
  </si>
  <si>
    <t>memilih filter lokasi "jakarta pusat" didalam pencarian produk "sepatu"</t>
  </si>
  <si>
    <t>TC120007</t>
  </si>
  <si>
    <t>Memilih produk "sepatu" didalam pop-up sugesti dibagian terakhir dicari menggunakan akun yang telah terdaftar</t>
  </si>
  <si>
    <t>1. TC110001,
2. Klik kolom pencarian,
3. klik produk dalam bentuk gambar "sepatu"  dibagian terakhir dilihat</t>
  </si>
  <si>
    <t>1. TC110001,
2. Klik kolom pencarian,
3. klik produk dalam bentuk teks "sepatu" dibagian terakhir dicari</t>
  </si>
  <si>
    <t>1. Berhasil menampilkan pencarian "Sepatu" dalam bentuk card view</t>
  </si>
  <si>
    <t>TC120008</t>
  </si>
  <si>
    <t>Memilih produk "Sepatu" didalam pop-up sugesti dibagian populer dari "Sepatu" menggunakan akun yang telah terdaftar</t>
  </si>
  <si>
    <t>1. TC110001,
2. Klik kolom pencarian,
3. klik produk dalam bentuk gambar dan teks "sepatu" dibagian populer dari "Sepatu"</t>
  </si>
  <si>
    <t>TC120009</t>
  </si>
  <si>
    <t>Memilih produk "Telur ayam" didalam pop-up sugesti dibagian pencarian populer menggunakan akun yang telah terdaftar</t>
  </si>
  <si>
    <t>1. TC110001,
2. Klik kolom pencarian,
3. klik produk dalam bentuk gambar dan teks "Telur ayam" dibagian pencarian populer</t>
  </si>
  <si>
    <t>Menampilkan pencarian produk "Telur ayam" dalam bentuk card view</t>
  </si>
  <si>
    <t>1. Berhasil menampilkan pencarian "Telur ayam" dalam bentuk card view</t>
  </si>
  <si>
    <t>TC120010</t>
  </si>
  <si>
    <t>Memilih produk  kategori "Rumah tangga" didalam pop-up sugesti dibagian kategori pilihan menggunakan akun yang telah terdaftar</t>
  </si>
  <si>
    <t>1. TC110001,
2. Klik kolom pencarian,
3. klik kategori pilihan dalam bentuk gambar dan teks "Rumah tangga" dibagian pencarian populer</t>
  </si>
  <si>
    <t>Menampilkan pencarian produk "Rumah tangga" dalam bentuk card view</t>
  </si>
  <si>
    <t>1. Berhasil menampilkan pencarian "Rumah tangga" dalam bentuk card view</t>
  </si>
  <si>
    <t>Memilih filter kategori "fashion pria" didalam pencarian produk "sepatu" menggunakan akun yang telah terdaftar</t>
  </si>
  <si>
    <t>1. TC110001,
2. Klik kolom pencarian,
3. Masukkan keyword "sepatu",
4. Klik "Fashion pria" didalam filter kategori</t>
  </si>
  <si>
    <t>Menampilkan pencarian produk "Sepatu pria" dalam bentuk card view</t>
  </si>
  <si>
    <t>1. Berhasil menampilkan pencarian produk "Sepatu pria" dalam bentuk card view</t>
  </si>
  <si>
    <t>1.4. Lihat Produk</t>
  </si>
  <si>
    <t>1.3. Keranjang</t>
  </si>
  <si>
    <t>1.3. Jual Barang</t>
  </si>
  <si>
    <t>TC140001</t>
  </si>
  <si>
    <t>Melihat detail produk "Sepatu" ketika melakukan pencarian produk</t>
  </si>
  <si>
    <t>1. TC120001,
2. Klik sepatu dalam bentuk card view,</t>
  </si>
  <si>
    <t>Berhasil menampilkan detail produk "sepatu"</t>
  </si>
  <si>
    <t>TC140002</t>
  </si>
  <si>
    <t>Melihat spesifikasi produk "Sepatu" dengan klik tab spesifikasi dalam detail produk</t>
  </si>
  <si>
    <t>1. TC140001,
2. Klik tab spesifikasi</t>
  </si>
  <si>
    <t>Berhasil menampilkan spesifikasi produk "sepatu"</t>
  </si>
  <si>
    <t>TC140003</t>
  </si>
  <si>
    <t>Melihat info penting produk "sepatu" dengan klik tab info penting dalam detai produk</t>
  </si>
  <si>
    <t>1. TC140001,
2. Klik tab info penting</t>
  </si>
  <si>
    <t>Berhasil menampilkan info penting produk "sepatu"</t>
  </si>
  <si>
    <t>TC140004</t>
  </si>
  <si>
    <t>Melihat detail dari kebijakan pengembalian produk dalam tab info penting dengan klik selengkapnya</t>
  </si>
  <si>
    <t>1. TC140001,
2. Klik tab info penting,
3. Klik selengkapnya dalam bagian kebijakan pengembalian produk</t>
  </si>
  <si>
    <t>Berhasil menampilkan pop up detail mengenai kebijakan pengembalian produk</t>
  </si>
  <si>
    <t>TC140005</t>
  </si>
  <si>
    <t>Melihat detail dari ketersediaan dalam tab info penting dengan klik selengkapnya</t>
  </si>
  <si>
    <t>1. TC140001,
2. Klik tab info penting,
3. Klik selengkapnya dalam bagian ketersediaan</t>
  </si>
  <si>
    <t>Berhasil menampilkan pop up detail mengenai ketersediaan</t>
  </si>
  <si>
    <t>TC140006</t>
  </si>
  <si>
    <t>1. TC140001,
2. Klik tab info penting,
3. Klik selengkapnya dalam bagian pengiriman barang</t>
  </si>
  <si>
    <t>Berhasil menampilkan pop up detail mengenai pengiriman barang</t>
  </si>
  <si>
    <t>TC140007</t>
  </si>
  <si>
    <t>Klik teks hyperlink sneakers pria yang berada di dalam tab detail dengan klik sneakers pria</t>
  </si>
  <si>
    <t>Melihat detail dari pengiriman barang dalam tab Info penting dengan klik selengkapnya</t>
  </si>
  <si>
    <t xml:space="preserve">1. TC140001,
2. Klik tab detail,
3. Klik sneakers pria </t>
  </si>
  <si>
    <t>Berhasil membuka tab baru dan menampilkan produk mengenai sneakers pria</t>
  </si>
  <si>
    <t>TC140008</t>
  </si>
  <si>
    <t>Klik teks hyperlink sneakers shoes yang berada di dalam tab detail dengan klik sneakers pria</t>
  </si>
  <si>
    <t xml:space="preserve">1. TC140001,
2. Klik tab detail,
3. Klik sneakers shoes </t>
  </si>
  <si>
    <t>Berhasil membuka tab baru dan menampilkan produk mengenai etalase produk</t>
  </si>
  <si>
    <t>TC140009</t>
  </si>
  <si>
    <t>Klik foto atau nama pedagang yang menjual produk</t>
  </si>
  <si>
    <t xml:space="preserve">1. TC140001,
2. Klik foto atau nama pedagang </t>
  </si>
  <si>
    <t>Berhasil menampilkan beranda pedagang tersebut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</si>
</sst>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dd\-mmm\-yyyy\ hh\:mm"/>
  </numFmts>
  <fonts count="19">
    <font>
      <sz val="12"/>
      <color theme="1"/>
      <name val="Calibri"/>
      <family val="2"/>
      <scheme val="minor"/>
    </font>
    <font>
      <u/>
      <sz val="12"/>
      <color theme="10"/>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b/>
      <sz val="10"/>
      <color theme="0"/>
      <name val="Arial"/>
      <family val="2"/>
    </font>
    <font>
      <sz val="10"/>
      <color theme="1"/>
      <name val="Arial"/>
      <family val="2"/>
    </font>
    <font>
      <u/>
      <sz val="10"/>
      <color theme="10"/>
      <name val="Arial"/>
      <family val="2"/>
    </font>
    <font>
      <sz val="10"/>
      <color theme="1"/>
      <name val="Calibri"/>
      <family val="2"/>
      <scheme val="minor"/>
    </font>
    <font>
      <sz val="10"/>
      <color rgb="FF003300"/>
      <name val="Arial"/>
      <family val="2"/>
    </font>
    <font>
      <b/>
      <sz val="12"/>
      <color theme="0"/>
      <name val="Arial"/>
      <family val="2"/>
    </font>
    <font>
      <sz val="12"/>
      <color theme="8" tint="0.79998168889431442"/>
      <name val="Arial"/>
      <family val="2"/>
    </font>
    <font>
      <b/>
      <sz val="10"/>
      <color theme="0"/>
      <name val="ArialMT"/>
      <family val="2"/>
    </font>
    <font>
      <sz val="10"/>
      <color rgb="FF375623"/>
      <name val="ArialMT"/>
    </font>
  </fonts>
  <fills count="8">
    <fill>
      <patternFill patternType="none"/>
    </fill>
    <fill>
      <patternFill patternType="gray125"/>
    </fill>
    <fill>
      <patternFill patternType="solid">
        <fgColor theme="1"/>
        <bgColor indexed="64"/>
      </patternFill>
    </fill>
    <fill>
      <patternFill patternType="solid">
        <fgColor theme="1"/>
        <bgColor rgb="FFC0C0C0"/>
      </patternFill>
    </fill>
    <fill>
      <patternFill patternType="solid">
        <fgColor theme="4"/>
        <bgColor theme="4"/>
      </patternFill>
    </fill>
    <fill>
      <patternFill patternType="solid">
        <fgColor theme="6" tint="0.79998168889431442"/>
        <bgColor indexed="64"/>
      </patternFill>
    </fill>
    <fill>
      <patternFill patternType="solid">
        <fgColor rgb="FF4472C4"/>
        <bgColor rgb="FFC0C0C0"/>
      </patternFill>
    </fill>
    <fill>
      <patternFill patternType="solid">
        <fgColor theme="9" tint="0.7999816888943144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s>
  <cellStyleXfs count="4">
    <xf numFmtId="0" fontId="0" fillId="0" borderId="0"/>
    <xf numFmtId="0" fontId="1" fillId="0" borderId="0" applyNumberFormat="0" applyFill="0" applyBorder="0" applyAlignment="0" applyProtection="0"/>
    <xf numFmtId="0" fontId="4" fillId="0" borderId="6" applyNumberFormat="0" applyFill="0" applyAlignment="0" applyProtection="0"/>
    <xf numFmtId="0" fontId="5" fillId="0" borderId="7" applyNumberFormat="0" applyFill="0" applyAlignment="0" applyProtection="0"/>
  </cellStyleXfs>
  <cellXfs count="44">
    <xf numFmtId="0" fontId="0" fillId="0" borderId="0" xfId="0"/>
    <xf numFmtId="0" fontId="0" fillId="0" borderId="0" xfId="0" applyAlignment="1">
      <alignment wrapText="1"/>
    </xf>
    <xf numFmtId="0" fontId="0" fillId="0" borderId="0" xfId="0" applyAlignment="1">
      <alignment horizontal="center"/>
    </xf>
    <xf numFmtId="0" fontId="6" fillId="0" borderId="0" xfId="0" applyFont="1"/>
    <xf numFmtId="0" fontId="6" fillId="0" borderId="0" xfId="0" applyNumberFormat="1" applyFont="1"/>
    <xf numFmtId="0" fontId="7" fillId="0" borderId="1" xfId="0" applyFont="1" applyBorder="1" applyAlignment="1">
      <alignment horizontal="left" vertical="top"/>
    </xf>
    <xf numFmtId="0" fontId="7" fillId="0" borderId="1" xfId="0" applyFont="1" applyBorder="1" applyAlignment="1">
      <alignment horizontal="left" vertical="top" wrapText="1"/>
    </xf>
    <xf numFmtId="164" fontId="7" fillId="0" borderId="1" xfId="0" applyNumberFormat="1" applyFont="1" applyBorder="1" applyAlignment="1">
      <alignment horizontal="left" vertical="top"/>
    </xf>
    <xf numFmtId="0" fontId="7" fillId="2" borderId="1" xfId="0" applyFont="1" applyFill="1" applyBorder="1" applyAlignment="1">
      <alignment horizontal="left" vertical="top"/>
    </xf>
    <xf numFmtId="0" fontId="8" fillId="0" borderId="0" xfId="0" applyFont="1"/>
    <xf numFmtId="0" fontId="9" fillId="0" borderId="0" xfId="0" applyFont="1" applyAlignment="1">
      <alignment vertical="top"/>
    </xf>
    <xf numFmtId="0" fontId="11" fillId="0" borderId="0" xfId="0" applyFont="1" applyBorder="1" applyAlignment="1">
      <alignment horizontal="center" vertical="top" wrapText="1"/>
    </xf>
    <xf numFmtId="0" fontId="8" fillId="0" borderId="0" xfId="0" applyFont="1" applyAlignment="1">
      <alignment horizontal="left" vertical="center"/>
    </xf>
    <xf numFmtId="0" fontId="9" fillId="0" borderId="0" xfId="0" applyFont="1" applyAlignment="1">
      <alignment vertical="top" wrapText="1"/>
    </xf>
    <xf numFmtId="0" fontId="12" fillId="0" borderId="0" xfId="1" applyFont="1" applyAlignment="1"/>
    <xf numFmtId="165" fontId="8" fillId="0" borderId="0" xfId="0" applyNumberFormat="1" applyFont="1" applyAlignment="1">
      <alignment horizontal="left" vertical="center"/>
    </xf>
    <xf numFmtId="0" fontId="9" fillId="0" borderId="0" xfId="0" applyFont="1" applyBorder="1" applyAlignment="1">
      <alignment horizontal="center" vertical="top" wrapText="1"/>
    </xf>
    <xf numFmtId="14" fontId="9" fillId="0" borderId="0" xfId="0" applyNumberFormat="1" applyFont="1" applyAlignment="1">
      <alignment vertical="top" wrapText="1"/>
    </xf>
    <xf numFmtId="0" fontId="9" fillId="0" borderId="0" xfId="0" applyFont="1" applyAlignment="1">
      <alignment horizontal="center" vertical="top" wrapText="1"/>
    </xf>
    <xf numFmtId="14" fontId="8" fillId="0" borderId="0" xfId="0" applyNumberFormat="1" applyFont="1" applyAlignment="1">
      <alignment horizontal="left" vertical="center"/>
    </xf>
    <xf numFmtId="0" fontId="8" fillId="0" borderId="0" xfId="0" applyFont="1" applyAlignment="1">
      <alignment horizontal="left" vertical="top"/>
    </xf>
    <xf numFmtId="0" fontId="11" fillId="0" borderId="0" xfId="0" applyFont="1"/>
    <xf numFmtId="0" fontId="13" fillId="0" borderId="0" xfId="0" applyFont="1"/>
    <xf numFmtId="166" fontId="7" fillId="0" borderId="1" xfId="0" applyNumberFormat="1" applyFont="1" applyBorder="1" applyAlignment="1">
      <alignment horizontal="left" vertical="top"/>
    </xf>
    <xf numFmtId="0" fontId="15" fillId="0" borderId="6" xfId="2" applyFont="1" applyAlignment="1">
      <alignment horizontal="center" vertical="center"/>
    </xf>
    <xf numFmtId="0" fontId="15" fillId="0" borderId="6" xfId="2" applyFont="1" applyFill="1" applyAlignment="1">
      <alignment horizontal="center" vertical="center"/>
    </xf>
    <xf numFmtId="0" fontId="6" fillId="0" borderId="0" xfId="0" applyFont="1" applyAlignment="1">
      <alignment horizontal="center" vertical="center"/>
    </xf>
    <xf numFmtId="0" fontId="15" fillId="0" borderId="6" xfId="2" applyFont="1" applyFill="1" applyBorder="1" applyAlignment="1">
      <alignment horizontal="center" vertical="center"/>
    </xf>
    <xf numFmtId="0" fontId="16" fillId="5" borderId="0" xfId="0" applyFont="1" applyFill="1"/>
    <xf numFmtId="0" fontId="16" fillId="0" borderId="0" xfId="0" applyFont="1" applyFill="1"/>
    <xf numFmtId="0" fontId="6" fillId="0" borderId="0" xfId="0" applyFont="1" applyFill="1"/>
    <xf numFmtId="0" fontId="7" fillId="0" borderId="5" xfId="0" applyFont="1" applyBorder="1" applyAlignment="1">
      <alignment horizontal="center" vertical="top"/>
    </xf>
    <xf numFmtId="166" fontId="7" fillId="0" borderId="4" xfId="0" applyNumberFormat="1" applyFont="1" applyBorder="1" applyAlignment="1">
      <alignment horizontal="left" vertical="top"/>
    </xf>
    <xf numFmtId="0" fontId="17" fillId="6" borderId="2" xfId="3" applyFont="1" applyFill="1" applyBorder="1" applyAlignment="1">
      <alignment horizontal="center" vertical="center" wrapText="1"/>
    </xf>
    <xf numFmtId="0" fontId="17" fillId="6" borderId="3" xfId="3" applyFont="1" applyFill="1" applyBorder="1" applyAlignment="1">
      <alignment horizontal="center" vertical="center" wrapText="1"/>
    </xf>
    <xf numFmtId="0" fontId="9" fillId="0" borderId="0" xfId="0" applyFont="1" applyFill="1"/>
    <xf numFmtId="0" fontId="9" fillId="0" borderId="0" xfId="0" applyFont="1" applyFill="1" applyAlignment="1">
      <alignment horizontal="center" vertical="center"/>
    </xf>
    <xf numFmtId="0" fontId="9" fillId="0" borderId="0" xfId="0" applyFont="1" applyFill="1" applyAlignment="1">
      <alignment horizontal="left" vertical="center"/>
    </xf>
    <xf numFmtId="0" fontId="17" fillId="3" borderId="3" xfId="3" applyFont="1" applyFill="1" applyBorder="1" applyAlignment="1">
      <alignment horizontal="center" vertical="center" wrapText="1"/>
    </xf>
    <xf numFmtId="0" fontId="10" fillId="4" borderId="8" xfId="0" applyFont="1" applyFill="1" applyBorder="1" applyAlignment="1">
      <alignment horizontal="center" vertical="center"/>
    </xf>
    <xf numFmtId="0" fontId="6" fillId="0" borderId="8" xfId="0" applyFont="1" applyBorder="1"/>
    <xf numFmtId="0" fontId="8" fillId="0" borderId="8" xfId="0" applyFont="1" applyBorder="1"/>
    <xf numFmtId="0" fontId="7" fillId="7" borderId="1" xfId="0" applyFont="1" applyFill="1" applyBorder="1" applyAlignment="1">
      <alignment horizontal="left" vertical="top" wrapText="1"/>
    </xf>
    <xf numFmtId="0" fontId="9" fillId="0" borderId="0" xfId="0" applyFont="1" applyFill="1" applyAlignment="1">
      <alignment horizontal="left" vertical="center"/>
    </xf>
  </cellXfs>
  <cellStyles count="4">
    <cellStyle name="Heading 2" xfId="2" builtinId="17"/>
    <cellStyle name="Heading 3" xfId="3" builtinId="18"/>
    <cellStyle name="Hyperlink" xfId="1" builtinId="8"/>
    <cellStyle name="Normal" xfId="0" builtinId="0"/>
  </cellStyles>
  <dxfs count="48">
    <dxf>
      <font>
        <color theme="1"/>
      </font>
      <fill>
        <patternFill>
          <bgColor theme="9" tint="0.79998168889431442"/>
        </patternFill>
      </fill>
    </dxf>
    <dxf>
      <font>
        <color theme="1"/>
      </font>
      <fill>
        <patternFill>
          <bgColor theme="5" tint="0.79998168889431442"/>
        </patternFill>
      </fill>
    </dxf>
    <dxf>
      <font>
        <color theme="2" tint="-0.89996032593768116"/>
      </font>
      <fill>
        <patternFill>
          <fgColor auto="1"/>
          <bgColor theme="0" tint="-4.9989318521683403E-2"/>
        </patternFill>
      </fill>
    </dxf>
    <dxf>
      <font>
        <color theme="2" tint="-0.89996032593768116"/>
      </font>
      <fill>
        <patternFill>
          <fgColor auto="1"/>
          <bgColor theme="3" tint="0.79998168889431442"/>
        </patternFill>
      </fill>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fill>
        <patternFill patternType="solid">
          <fgColor indexed="64"/>
          <bgColor theme="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border outline="0">
        <bottom style="thick">
          <color theme="4" tint="0.499984740745262"/>
        </bottom>
      </border>
    </dxf>
    <dxf>
      <font>
        <b/>
        <i val="0"/>
        <strike val="0"/>
        <condense val="0"/>
        <extend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26</c:v>
                </c:pt>
                <c:pt idx="1">
                  <c:v>10</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33</c:v>
                </c:pt>
                <c:pt idx="1">
                  <c:v>0</c:v>
                </c:pt>
                <c:pt idx="2">
                  <c:v>0</c:v>
                </c:pt>
                <c:pt idx="3">
                  <c:v>3</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Dashboard!$B$34:$B$39</c:f>
              <c:strCache>
                <c:ptCount val="6"/>
                <c:pt idx="0">
                  <c:v>1.1. Login</c:v>
                </c:pt>
                <c:pt idx="1">
                  <c:v>1.2. Pencarian</c:v>
                </c:pt>
                <c:pt idx="2">
                  <c:v>1.3. Checkout</c:v>
                </c:pt>
                <c:pt idx="3">
                  <c:v>1.4. Lihat Produk</c:v>
                </c:pt>
                <c:pt idx="4">
                  <c:v>1.3. Keranjang</c:v>
                </c:pt>
                <c:pt idx="5">
                  <c:v>1.3. Jual Barang</c:v>
                </c:pt>
              </c:strCache>
            </c:strRef>
          </c:cat>
          <c:val>
            <c:numRef>
              <c:f>Dashboard!$C$34:$C$39</c:f>
              <c:numCache>
                <c:formatCode>General</c:formatCode>
                <c:ptCount val="6"/>
                <c:pt idx="0">
                  <c:v>16</c:v>
                </c:pt>
                <c:pt idx="1">
                  <c:v>10</c:v>
                </c:pt>
                <c:pt idx="2">
                  <c:v>1</c:v>
                </c:pt>
                <c:pt idx="3">
                  <c:v>9</c:v>
                </c:pt>
                <c:pt idx="4">
                  <c:v>0</c:v>
                </c:pt>
                <c:pt idx="5">
                  <c:v>0</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1</c:v>
                </c:pt>
                <c:pt idx="2">
                  <c:v>16</c:v>
                </c:pt>
                <c:pt idx="3">
                  <c:v>16</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hyperlink" Target="https://reqres.in/" TargetMode="External"/></Relationships>
</file>

<file path=xl/drawings/drawing1.xml><?xml version="1.0" encoding="utf-8"?>
<xdr:wsDr xmlns:xdr="http://schemas.openxmlformats.org/drawingml/2006/spreadsheetDrawing" xmlns:a="http://schemas.openxmlformats.org/drawingml/2006/main">
  <xdr:twoCellAnchor>
    <xdr:from>
      <xdr:col>6</xdr:col>
      <xdr:colOff>387350</xdr:colOff>
      <xdr:row>0</xdr:row>
      <xdr:rowOff>59690</xdr:rowOff>
    </xdr:from>
    <xdr:to>
      <xdr:col>10</xdr:col>
      <xdr:colOff>330200</xdr:colOff>
      <xdr:row>31</xdr:row>
      <xdr:rowOff>13970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50800</xdr:colOff>
      <xdr:row>0</xdr:row>
      <xdr:rowOff>57150</xdr:rowOff>
    </xdr:from>
    <xdr:to>
      <xdr:col>6</xdr:col>
      <xdr:colOff>330200</xdr:colOff>
      <xdr:row>31</xdr:row>
      <xdr:rowOff>11430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190619</xdr:colOff>
      <xdr:row>0</xdr:row>
      <xdr:rowOff>63500</xdr:rowOff>
    </xdr:from>
    <xdr:to>
      <xdr:col>4</xdr:col>
      <xdr:colOff>317500</xdr:colOff>
      <xdr:row>4</xdr:row>
      <xdr:rowOff>127000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90619" y="63500"/>
          <a:ext cx="4152781" cy="8255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72000" bIns="36000" rtlCol="0" anchor="t"/>
        <a:lstStyle/>
        <a:p>
          <a:pPr algn="l"/>
          <a:endParaRPr lang="en-US" sz="1000" b="1">
            <a:solidFill>
              <a:schemeClr val="bg2">
                <a:lumMod val="25000"/>
              </a:schemeClr>
            </a:solidFill>
            <a:latin typeface="Arial" panose="020B0604020202020204" pitchFamily="34" charset="0"/>
            <a:cs typeface="Arial" panose="020B0604020202020204" pitchFamily="34" charset="0"/>
          </a:endParaRPr>
        </a:p>
        <a:p>
          <a:pPr algn="l" defTabSz="640080"/>
          <a:r>
            <a:rPr lang="en-US" sz="1100" b="1">
              <a:solidFill>
                <a:schemeClr val="bg2">
                  <a:lumMod val="25000"/>
                </a:schemeClr>
              </a:solidFill>
              <a:latin typeface="Arial" panose="020B0604020202020204" pitchFamily="34" charset="0"/>
              <a:cs typeface="Arial" panose="020B0604020202020204" pitchFamily="34" charset="0"/>
            </a:rPr>
            <a:t>Project Name	:</a:t>
          </a:r>
          <a:r>
            <a:rPr lang="en-US" sz="1100" b="1" baseline="0">
              <a:solidFill>
                <a:schemeClr val="bg2">
                  <a:lumMod val="25000"/>
                </a:schemeClr>
              </a:solidFill>
              <a:latin typeface="Arial" panose="020B0604020202020204" pitchFamily="34" charset="0"/>
              <a:cs typeface="Arial" panose="020B0604020202020204" pitchFamily="34" charset="0"/>
            </a:rPr>
            <a:t> </a:t>
          </a:r>
          <a:r>
            <a:rPr lang="en-US" sz="1100" b="1" i="0" u="none" baseline="0">
              <a:solidFill>
                <a:schemeClr val="bg2">
                  <a:lumMod val="25000"/>
                </a:schemeClr>
              </a:solidFill>
              <a:latin typeface="Arial" panose="020B0604020202020204" pitchFamily="34" charset="0"/>
              <a:cs typeface="Arial" panose="020B0604020202020204" pitchFamily="34" charset="0"/>
            </a:rPr>
            <a:t>Web Tokopedia</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Base URL	: https://www.tokopedia.com/</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start date	: 03 Maret 2022</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end date	: 03 Maret 2022</a:t>
          </a:r>
          <a:endParaRPr lang="en-US" sz="1100" b="1">
            <a:solidFill>
              <a:schemeClr val="bg2">
                <a:lumMod val="2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0</xdr:col>
          <xdr:colOff>76200</xdr:colOff>
          <xdr:row>6</xdr:row>
          <xdr:rowOff>0</xdr:rowOff>
        </xdr:from>
        <xdr:to>
          <xdr:col>1</xdr:col>
          <xdr:colOff>853440</xdr:colOff>
          <xdr:row>6</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929640</xdr:colOff>
          <xdr:row>6</xdr:row>
          <xdr:rowOff>0</xdr:rowOff>
        </xdr:from>
        <xdr:to>
          <xdr:col>1</xdr:col>
          <xdr:colOff>2156460</xdr:colOff>
          <xdr:row>6</xdr:row>
          <xdr:rowOff>190500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375623"/>
                  </a:solidFill>
                  <a:latin typeface="ArialMT"/>
                </a:rPr>
                <a:t>Delete Last Record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7" dataDxfId="46" headerRowCellStyle="Heading 2">
  <autoFilter ref="H33:I37" xr:uid="{39B49D68-9E8A-D34A-B9C6-E6ABF7ECF4E2}"/>
  <tableColumns count="2">
    <tableColumn id="1" xr3:uid="{567DBF3E-6AAB-F44B-A620-2B81C9A6B114}" name="STATUS" dataDxfId="45"/>
    <tableColumn id="2" xr3:uid="{00650F91-5404-F04C-9013-56844C846874}" name="TOTAL" dataDxfId="44">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O40" totalsRowShown="0" headerRowDxfId="43" dataDxfId="41" headerRowBorderDxfId="42" headerRowCellStyle="Heading 2">
  <autoFilter ref="N33:O40" xr:uid="{E7F708E7-6029-1341-8251-DF3DDDFF7B00}"/>
  <tableColumns count="2">
    <tableColumn id="1" xr3:uid="{440FA0DB-848F-9F48-9EDE-A92BB70EB242}" name="PIC" dataDxfId="40"/>
    <tableColumn id="2" xr3:uid="{BCFB4232-A96D-B74B-ADE9-74DE4F804D8D}" name="TOTAL" dataDxfId="39">
      <calculatedColumnFormula>COUNTIF(Table_test_case[PIC],TablePic[[#This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38" dataDxfId="37" headerRowCellStyle="Heading 2">
  <autoFilter ref="K33:L37" xr:uid="{7A78BE29-BD42-E94C-B75E-07BC3539C64B}"/>
  <tableColumns count="2">
    <tableColumn id="1" xr3:uid="{3FBAF980-B046-1744-A68E-80FA60193677}" name="PRIORITY " dataDxfId="36"/>
    <tableColumn id="2" xr3:uid="{20CF8267-20CB-2447-B0EE-04CA0FFEC084}" name="TOTAL" dataDxfId="35">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4" dataDxfId="33" headerRowCellStyle="Heading 2">
  <autoFilter ref="E33:F35" xr:uid="{12B34AFC-8443-7646-A5FF-38B643D476A1}"/>
  <tableColumns count="2">
    <tableColumn id="1" xr3:uid="{E4B2D535-AD93-2241-822E-9CF430ABB581}" name="TYPE TEST" dataDxfId="32"/>
    <tableColumn id="2" xr3:uid="{B2FCB4DD-51A8-1548-8514-2F1B2803A7E8}" name="TOTAL" dataDxfId="31">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9" totalsRowShown="0" headerRowDxfId="30" dataDxfId="29" headerRowCellStyle="Heading 2">
  <autoFilter ref="B33:C39" xr:uid="{6C7EEE0D-7F76-2040-BCB4-250854C8F0F0}"/>
  <tableColumns count="2">
    <tableColumn id="2" xr3:uid="{715B60B1-67E3-3D45-A8B0-02B0A787B3D7}" name="PAGE" dataDxfId="28"/>
    <tableColumn id="3" xr3:uid="{A956E912-A71F-0145-AD97-1B193CC99877}" name="TOTAL" dataDxfId="27">
      <calculatedColumnFormula>COUNTIF(Table_test_case[FUNGTION],TablePage[[#This Row],[PAGE]])</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9:R45" totalsRowShown="0" headerRowDxfId="26" dataDxfId="24" headerRowBorderDxfId="25" tableBorderDxfId="23" totalsRowBorderDxfId="22" headerRowCellStyle="Heading 3">
  <autoFilter ref="A9:R45" xr:uid="{00000000-000C-0000-FFFF-FFFF00000000}">
    <filterColumn colId="1">
      <filters>
        <filter val="1.4. Lihat Produk"/>
      </filters>
    </filterColumn>
  </autoFilter>
  <tableColumns count="18">
    <tableColumn id="1" xr3:uid="{00000000-0010-0000-0000-000001000000}" name="NO." dataDxfId="21">
      <calculatedColumnFormula>A9+1</calculatedColumnFormula>
    </tableColumn>
    <tableColumn id="2" xr3:uid="{00000000-0010-0000-0000-000002000000}" name="FUNGTION" dataDxfId="20"/>
    <tableColumn id="3" xr3:uid="{00000000-0010-0000-0000-000003000000}" name="TEST_x000a_CASE_x000a_ID" dataDxfId="19"/>
    <tableColumn id="17" xr3:uid="{00000000-0010-0000-0000-000011000000}" name="TEST TYPE" dataDxfId="18"/>
    <tableColumn id="22" xr3:uid="{00000000-0010-0000-0000-000016000000}" name="STATUS" dataDxfId="17"/>
    <tableColumn id="6" xr3:uid="{00000000-0010-0000-0000-000006000000}" name=" " dataDxfId="16"/>
    <tableColumn id="19" xr3:uid="{00000000-0010-0000-0000-000013000000}" name="DESCRIPTION" dataDxfId="15"/>
    <tableColumn id="18" xr3:uid="{00000000-0010-0000-0000-000012000000}" name="PREREQUISITES" dataDxfId="14"/>
    <tableColumn id="7" xr3:uid="{00000000-0010-0000-0000-000007000000}" name="TEST STEPS" dataDxfId="13"/>
    <tableColumn id="8" xr3:uid="{00000000-0010-0000-0000-000008000000}" name="EXPECTED RESULT" dataDxfId="12"/>
    <tableColumn id="9" xr3:uid="{00000000-0010-0000-0000-000009000000}" name="ACTUAL RESULT" dataDxfId="11"/>
    <tableColumn id="16" xr3:uid="{00000000-0010-0000-0000-000010000000}" name="NOTES" dataDxfId="10"/>
    <tableColumn id="5" xr3:uid="{AF37849C-47CF-1D42-9803-BA046E03AA35}" name="PRIORITY" dataDxfId="9"/>
    <tableColumn id="4" xr3:uid="{7D50DCE3-CDE0-D540-AD1E-7BD0F9C19C2B}" name="PIC" dataDxfId="8"/>
    <tableColumn id="12" xr3:uid="{00000000-0010-0000-0000-00000C000000}" name="CREATED_x000a_BY" dataDxfId="7"/>
    <tableColumn id="13" xr3:uid="{00000000-0010-0000-0000-00000D000000}" name="CREATED_x000a_ON" dataDxfId="6"/>
    <tableColumn id="14" xr3:uid="{00000000-0010-0000-0000-00000E000000}" name="EXECUTED_x000a_BY" dataDxfId="5"/>
    <tableColumn id="15" xr3:uid="{00000000-0010-0000-0000-00000F000000}" name="EXECUTED_x000a_ON"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P41"/>
  <sheetViews>
    <sheetView showGridLines="0" topLeftCell="B18" zoomScaleNormal="100" workbookViewId="0">
      <selection activeCell="B40" sqref="B40"/>
    </sheetView>
  </sheetViews>
  <sheetFormatPr defaultColWidth="10.796875" defaultRowHeight="15"/>
  <cols>
    <col min="1" max="1" width="1.19921875" style="3" customWidth="1"/>
    <col min="2" max="2" width="35.796875" style="3"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5" width="12.796875" style="3" customWidth="1"/>
    <col min="16" max="16" width="9" style="3" bestFit="1" customWidth="1"/>
    <col min="17" max="17" width="17.19921875" style="3" bestFit="1" customWidth="1"/>
    <col min="18" max="18" width="16.5" style="3" bestFit="1" customWidth="1"/>
    <col min="19" max="19" width="22" style="3" bestFit="1" customWidth="1"/>
    <col min="20" max="16384" width="10.796875" style="3"/>
  </cols>
  <sheetData>
    <row r="1" spans="1:16" ht="6" customHeight="1">
      <c r="A1" s="28"/>
      <c r="B1" s="28"/>
      <c r="C1" s="28"/>
      <c r="D1" s="28"/>
      <c r="E1" s="28"/>
      <c r="F1" s="28"/>
      <c r="G1" s="28"/>
      <c r="H1" s="28"/>
      <c r="I1" s="28"/>
      <c r="J1" s="28"/>
      <c r="K1" s="28"/>
      <c r="L1" s="28"/>
      <c r="M1" s="28"/>
      <c r="N1" s="28"/>
      <c r="O1" s="28"/>
      <c r="P1" s="29"/>
    </row>
    <row r="2" spans="1:16">
      <c r="A2" s="28"/>
      <c r="B2" s="28"/>
      <c r="C2" s="28"/>
      <c r="D2" s="28"/>
      <c r="E2" s="28"/>
      <c r="F2" s="28"/>
      <c r="G2" s="28"/>
      <c r="H2" s="28"/>
      <c r="I2" s="28"/>
      <c r="J2" s="28"/>
      <c r="K2" s="28"/>
      <c r="L2" s="28"/>
      <c r="M2" s="28"/>
      <c r="N2" s="28"/>
      <c r="O2" s="28"/>
      <c r="P2" s="29"/>
    </row>
    <row r="3" spans="1:16">
      <c r="A3" s="28"/>
      <c r="B3" s="28"/>
      <c r="C3" s="28"/>
      <c r="D3" s="28"/>
      <c r="E3" s="28"/>
      <c r="F3" s="28"/>
      <c r="G3" s="28"/>
      <c r="H3" s="28"/>
      <c r="I3" s="28"/>
      <c r="J3" s="28"/>
      <c r="K3" s="28"/>
      <c r="L3" s="28"/>
      <c r="M3" s="28"/>
      <c r="N3" s="28"/>
      <c r="O3" s="28"/>
      <c r="P3" s="29"/>
    </row>
    <row r="4" spans="1:16">
      <c r="A4" s="28"/>
      <c r="B4" s="28"/>
      <c r="C4" s="28"/>
      <c r="D4" s="28"/>
      <c r="E4" s="28"/>
      <c r="F4" s="28"/>
      <c r="G4" s="28"/>
      <c r="H4" s="28"/>
      <c r="I4" s="28"/>
      <c r="J4" s="28"/>
      <c r="K4" s="28"/>
      <c r="L4" s="28"/>
      <c r="M4" s="28"/>
      <c r="N4" s="28"/>
      <c r="O4" s="28"/>
      <c r="P4" s="29"/>
    </row>
    <row r="5" spans="1:16">
      <c r="A5" s="28"/>
      <c r="B5" s="28"/>
      <c r="C5" s="28"/>
      <c r="D5" s="28"/>
      <c r="E5" s="28"/>
      <c r="F5" s="28"/>
      <c r="G5" s="28"/>
      <c r="H5" s="28"/>
      <c r="I5" s="28"/>
      <c r="J5" s="28"/>
      <c r="K5" s="28"/>
      <c r="L5" s="28"/>
      <c r="M5" s="28"/>
      <c r="N5" s="28"/>
      <c r="O5" s="28"/>
      <c r="P5" s="29"/>
    </row>
    <row r="6" spans="1:16">
      <c r="A6" s="28"/>
      <c r="B6" s="28"/>
      <c r="C6" s="28"/>
      <c r="D6" s="28"/>
      <c r="E6" s="28"/>
      <c r="F6" s="28"/>
      <c r="G6" s="28"/>
      <c r="H6" s="28"/>
      <c r="I6" s="28"/>
      <c r="J6" s="28"/>
      <c r="K6" s="28"/>
      <c r="L6" s="28"/>
      <c r="M6" s="28"/>
      <c r="N6" s="28"/>
      <c r="O6" s="28"/>
      <c r="P6" s="29"/>
    </row>
    <row r="7" spans="1:16">
      <c r="A7" s="28"/>
      <c r="B7" s="28"/>
      <c r="C7" s="28"/>
      <c r="D7" s="28"/>
      <c r="E7" s="28"/>
      <c r="F7" s="28"/>
      <c r="G7" s="28"/>
      <c r="H7" s="28"/>
      <c r="I7" s="28"/>
      <c r="J7" s="28"/>
      <c r="K7" s="28"/>
      <c r="L7" s="28"/>
      <c r="M7" s="28"/>
      <c r="N7" s="28"/>
      <c r="O7" s="28"/>
      <c r="P7" s="29"/>
    </row>
    <row r="8" spans="1:16">
      <c r="A8" s="28"/>
      <c r="B8" s="28"/>
      <c r="C8" s="28"/>
      <c r="D8" s="28"/>
      <c r="E8" s="28"/>
      <c r="F8" s="28"/>
      <c r="G8" s="28"/>
      <c r="H8" s="28"/>
      <c r="I8" s="28"/>
      <c r="J8" s="28"/>
      <c r="K8" s="28"/>
      <c r="L8" s="28"/>
      <c r="M8" s="28"/>
      <c r="N8" s="28"/>
      <c r="O8" s="28"/>
      <c r="P8" s="29"/>
    </row>
    <row r="9" spans="1:16">
      <c r="A9" s="28"/>
      <c r="B9" s="28"/>
      <c r="C9" s="28"/>
      <c r="D9" s="28"/>
      <c r="E9" s="28"/>
      <c r="F9" s="28"/>
      <c r="G9" s="28"/>
      <c r="H9" s="28"/>
      <c r="I9" s="28"/>
      <c r="J9" s="28"/>
      <c r="K9" s="28"/>
      <c r="L9" s="28"/>
      <c r="M9" s="28"/>
      <c r="N9" s="28"/>
      <c r="O9" s="28"/>
      <c r="P9" s="29"/>
    </row>
    <row r="10" spans="1:16">
      <c r="A10" s="28"/>
      <c r="B10" s="28"/>
      <c r="C10" s="28"/>
      <c r="D10" s="28"/>
      <c r="E10" s="28"/>
      <c r="F10" s="28"/>
      <c r="G10" s="28"/>
      <c r="H10" s="28"/>
      <c r="I10" s="28"/>
      <c r="J10" s="28"/>
      <c r="K10" s="28"/>
      <c r="L10" s="28"/>
      <c r="M10" s="28"/>
      <c r="N10" s="28"/>
      <c r="O10" s="28"/>
      <c r="P10" s="29"/>
    </row>
    <row r="11" spans="1:16">
      <c r="A11" s="28"/>
      <c r="B11" s="28"/>
      <c r="C11" s="28"/>
      <c r="D11" s="28"/>
      <c r="E11" s="28"/>
      <c r="F11" s="28"/>
      <c r="G11" s="28"/>
      <c r="H11" s="28"/>
      <c r="I11" s="28"/>
      <c r="J11" s="28"/>
      <c r="K11" s="28"/>
      <c r="L11" s="28"/>
      <c r="M11" s="28"/>
      <c r="N11" s="28"/>
      <c r="O11" s="28"/>
      <c r="P11" s="29"/>
    </row>
    <row r="12" spans="1:16">
      <c r="A12" s="28"/>
      <c r="B12" s="28"/>
      <c r="C12" s="28"/>
      <c r="D12" s="28"/>
      <c r="E12" s="28"/>
      <c r="F12" s="28"/>
      <c r="G12" s="28"/>
      <c r="H12" s="28"/>
      <c r="I12" s="28"/>
      <c r="J12" s="28"/>
      <c r="K12" s="28"/>
      <c r="L12" s="28"/>
      <c r="M12" s="28"/>
      <c r="N12" s="28"/>
      <c r="O12" s="28"/>
      <c r="P12" s="29"/>
    </row>
    <row r="13" spans="1:16">
      <c r="A13" s="28"/>
      <c r="B13" s="28"/>
      <c r="C13" s="28"/>
      <c r="D13" s="28"/>
      <c r="E13" s="28"/>
      <c r="F13" s="28"/>
      <c r="G13" s="28"/>
      <c r="H13" s="28"/>
      <c r="I13" s="28"/>
      <c r="J13" s="28"/>
      <c r="K13" s="28"/>
      <c r="L13" s="28"/>
      <c r="M13" s="28"/>
      <c r="N13" s="28"/>
      <c r="O13" s="28"/>
      <c r="P13" s="29"/>
    </row>
    <row r="14" spans="1:16">
      <c r="A14" s="28"/>
      <c r="B14" s="28"/>
      <c r="C14" s="28"/>
      <c r="D14" s="28"/>
      <c r="E14" s="28"/>
      <c r="F14" s="28"/>
      <c r="G14" s="28"/>
      <c r="H14" s="28"/>
      <c r="I14" s="28"/>
      <c r="J14" s="28"/>
      <c r="K14" s="28"/>
      <c r="L14" s="28"/>
      <c r="M14" s="28"/>
      <c r="N14" s="28"/>
      <c r="O14" s="28"/>
      <c r="P14" s="29"/>
    </row>
    <row r="15" spans="1:16">
      <c r="A15" s="28"/>
      <c r="B15" s="28"/>
      <c r="C15" s="28"/>
      <c r="D15" s="28"/>
      <c r="E15" s="28"/>
      <c r="F15" s="28"/>
      <c r="G15" s="28"/>
      <c r="H15" s="28"/>
      <c r="I15" s="28"/>
      <c r="J15" s="28"/>
      <c r="K15" s="28"/>
      <c r="L15" s="28"/>
      <c r="M15" s="28"/>
      <c r="N15" s="28"/>
      <c r="O15" s="28"/>
      <c r="P15" s="29"/>
    </row>
    <row r="16" spans="1:16">
      <c r="A16" s="28"/>
      <c r="B16" s="28"/>
      <c r="C16" s="28"/>
      <c r="D16" s="28"/>
      <c r="E16" s="28"/>
      <c r="F16" s="28"/>
      <c r="G16" s="28"/>
      <c r="H16" s="28"/>
      <c r="I16" s="28"/>
      <c r="J16" s="28"/>
      <c r="K16" s="28"/>
      <c r="L16" s="28"/>
      <c r="M16" s="28"/>
      <c r="N16" s="28"/>
      <c r="O16" s="28"/>
      <c r="P16" s="29"/>
    </row>
    <row r="17" spans="1:16">
      <c r="A17" s="28"/>
      <c r="B17" s="28"/>
      <c r="C17" s="28"/>
      <c r="D17" s="28"/>
      <c r="E17" s="28"/>
      <c r="F17" s="28"/>
      <c r="G17" s="28"/>
      <c r="H17" s="28"/>
      <c r="I17" s="28"/>
      <c r="J17" s="28"/>
      <c r="K17" s="28"/>
      <c r="L17" s="28"/>
      <c r="M17" s="28"/>
      <c r="N17" s="28"/>
      <c r="O17" s="28"/>
      <c r="P17" s="29"/>
    </row>
    <row r="18" spans="1:16">
      <c r="A18" s="28"/>
      <c r="B18" s="28"/>
      <c r="C18" s="28"/>
      <c r="D18" s="28"/>
      <c r="E18" s="28"/>
      <c r="F18" s="28"/>
      <c r="G18" s="28"/>
      <c r="H18" s="28"/>
      <c r="I18" s="28"/>
      <c r="J18" s="28"/>
      <c r="K18" s="28"/>
      <c r="L18" s="28"/>
      <c r="M18" s="28"/>
      <c r="N18" s="28"/>
      <c r="O18" s="28"/>
      <c r="P18" s="29"/>
    </row>
    <row r="19" spans="1:16">
      <c r="A19" s="28"/>
      <c r="B19" s="28"/>
      <c r="C19" s="28"/>
      <c r="D19" s="28"/>
      <c r="E19" s="28"/>
      <c r="F19" s="28"/>
      <c r="G19" s="28"/>
      <c r="H19" s="28"/>
      <c r="I19" s="28"/>
      <c r="J19" s="28"/>
      <c r="K19" s="28"/>
      <c r="L19" s="28"/>
      <c r="M19" s="28"/>
      <c r="N19" s="28"/>
      <c r="O19" s="28"/>
      <c r="P19" s="29"/>
    </row>
    <row r="20" spans="1:16">
      <c r="A20" s="28"/>
      <c r="B20" s="28"/>
      <c r="C20" s="28"/>
      <c r="D20" s="28"/>
      <c r="E20" s="28"/>
      <c r="F20" s="28"/>
      <c r="G20" s="28"/>
      <c r="H20" s="28"/>
      <c r="I20" s="28"/>
      <c r="J20" s="28"/>
      <c r="K20" s="28"/>
      <c r="L20" s="28"/>
      <c r="M20" s="28"/>
      <c r="N20" s="28"/>
      <c r="O20" s="28"/>
      <c r="P20" s="29"/>
    </row>
    <row r="21" spans="1:16">
      <c r="A21" s="28"/>
      <c r="B21" s="28"/>
      <c r="C21" s="28"/>
      <c r="D21" s="28"/>
      <c r="E21" s="28"/>
      <c r="F21" s="28"/>
      <c r="G21" s="28"/>
      <c r="H21" s="28"/>
      <c r="I21" s="28"/>
      <c r="J21" s="28"/>
      <c r="K21" s="28"/>
      <c r="L21" s="28"/>
      <c r="M21" s="28"/>
      <c r="N21" s="28"/>
      <c r="O21" s="28"/>
      <c r="P21" s="29"/>
    </row>
    <row r="22" spans="1:16">
      <c r="A22" s="28"/>
      <c r="B22" s="28"/>
      <c r="C22" s="28"/>
      <c r="D22" s="28"/>
      <c r="E22" s="28"/>
      <c r="F22" s="28"/>
      <c r="G22" s="28"/>
      <c r="H22" s="28"/>
      <c r="I22" s="28"/>
      <c r="J22" s="28"/>
      <c r="K22" s="28"/>
      <c r="L22" s="28"/>
      <c r="M22" s="28"/>
      <c r="N22" s="28"/>
      <c r="O22" s="28"/>
      <c r="P22" s="29"/>
    </row>
    <row r="23" spans="1:16">
      <c r="A23" s="28"/>
      <c r="B23" s="28"/>
      <c r="C23" s="28"/>
      <c r="D23" s="28"/>
      <c r="E23" s="28"/>
      <c r="F23" s="28"/>
      <c r="G23" s="28"/>
      <c r="H23" s="28"/>
      <c r="I23" s="28"/>
      <c r="J23" s="28"/>
      <c r="K23" s="28"/>
      <c r="L23" s="28"/>
      <c r="M23" s="28"/>
      <c r="N23" s="28"/>
      <c r="O23" s="28"/>
      <c r="P23" s="29"/>
    </row>
    <row r="24" spans="1:16">
      <c r="A24" s="28"/>
      <c r="B24" s="28"/>
      <c r="C24" s="28"/>
      <c r="D24" s="28"/>
      <c r="E24" s="28"/>
      <c r="F24" s="28"/>
      <c r="G24" s="28"/>
      <c r="H24" s="28"/>
      <c r="I24" s="28"/>
      <c r="J24" s="28"/>
      <c r="K24" s="28"/>
      <c r="L24" s="28"/>
      <c r="M24" s="28"/>
      <c r="N24" s="28"/>
      <c r="O24" s="28"/>
      <c r="P24" s="29"/>
    </row>
    <row r="25" spans="1:16">
      <c r="A25" s="28"/>
      <c r="B25" s="28"/>
      <c r="C25" s="28"/>
      <c r="D25" s="28"/>
      <c r="E25" s="28"/>
      <c r="F25" s="28"/>
      <c r="G25" s="28"/>
      <c r="H25" s="28"/>
      <c r="I25" s="28"/>
      <c r="J25" s="28"/>
      <c r="K25" s="28"/>
      <c r="L25" s="28"/>
      <c r="M25" s="28"/>
      <c r="N25" s="28"/>
      <c r="O25" s="28"/>
      <c r="P25" s="29"/>
    </row>
    <row r="26" spans="1:16">
      <c r="A26" s="28"/>
      <c r="B26" s="28"/>
      <c r="C26" s="28"/>
      <c r="D26" s="28"/>
      <c r="E26" s="28"/>
      <c r="F26" s="28"/>
      <c r="G26" s="28"/>
      <c r="H26" s="28"/>
      <c r="I26" s="28"/>
      <c r="J26" s="28"/>
      <c r="K26" s="28"/>
      <c r="L26" s="28"/>
      <c r="M26" s="28"/>
      <c r="N26" s="28"/>
      <c r="O26" s="28"/>
      <c r="P26" s="29"/>
    </row>
    <row r="27" spans="1:16">
      <c r="A27" s="28"/>
      <c r="B27" s="28"/>
      <c r="C27" s="28"/>
      <c r="D27" s="28"/>
      <c r="E27" s="28"/>
      <c r="F27" s="28"/>
      <c r="G27" s="28"/>
      <c r="H27" s="28"/>
      <c r="I27" s="28"/>
      <c r="J27" s="28"/>
      <c r="K27" s="28"/>
      <c r="L27" s="28"/>
      <c r="M27" s="28"/>
      <c r="N27" s="28"/>
      <c r="O27" s="28"/>
      <c r="P27" s="29"/>
    </row>
    <row r="28" spans="1:16" ht="16.05" customHeight="1">
      <c r="A28" s="28"/>
      <c r="B28" s="28"/>
      <c r="C28" s="28"/>
      <c r="D28" s="28"/>
      <c r="E28" s="28"/>
      <c r="F28" s="28"/>
      <c r="G28" s="28"/>
      <c r="H28" s="28"/>
      <c r="I28" s="28"/>
      <c r="J28" s="28"/>
      <c r="K28" s="28"/>
      <c r="L28" s="28"/>
      <c r="M28" s="28"/>
      <c r="N28" s="28"/>
      <c r="O28" s="28"/>
      <c r="P28" s="29"/>
    </row>
    <row r="29" spans="1:16" ht="16.05" customHeight="1">
      <c r="A29" s="28"/>
      <c r="B29" s="28"/>
      <c r="C29" s="28"/>
      <c r="D29" s="28"/>
      <c r="E29" s="28"/>
      <c r="F29" s="28"/>
      <c r="G29" s="28"/>
      <c r="H29" s="28"/>
      <c r="I29" s="28"/>
      <c r="J29" s="28"/>
      <c r="K29" s="28"/>
      <c r="L29" s="28"/>
      <c r="M29" s="28"/>
      <c r="N29" s="28"/>
      <c r="O29" s="28"/>
      <c r="P29" s="29"/>
    </row>
    <row r="30" spans="1:16" ht="16.05" customHeight="1">
      <c r="A30" s="28"/>
      <c r="B30" s="28"/>
      <c r="C30" s="28"/>
      <c r="D30" s="28"/>
      <c r="E30" s="28"/>
      <c r="F30" s="28"/>
      <c r="G30" s="28"/>
      <c r="H30" s="28"/>
      <c r="I30" s="28"/>
      <c r="J30" s="28"/>
      <c r="K30" s="28"/>
      <c r="L30" s="28"/>
      <c r="M30" s="28"/>
      <c r="N30" s="28"/>
      <c r="O30" s="28"/>
      <c r="P30" s="29"/>
    </row>
    <row r="31" spans="1:16" ht="16.05" customHeight="1">
      <c r="A31" s="28"/>
      <c r="B31" s="28"/>
      <c r="C31" s="28"/>
      <c r="D31" s="28"/>
      <c r="E31" s="28"/>
      <c r="F31" s="28"/>
      <c r="G31" s="28"/>
      <c r="H31" s="28"/>
      <c r="I31" s="28"/>
      <c r="J31" s="28"/>
      <c r="K31" s="28"/>
      <c r="L31" s="28"/>
      <c r="M31" s="28"/>
      <c r="N31" s="28"/>
      <c r="O31" s="28"/>
      <c r="P31" s="29"/>
    </row>
    <row r="32" spans="1:16" ht="16.05" customHeight="1">
      <c r="P32" s="30"/>
    </row>
    <row r="33" spans="2:15" ht="42" customHeight="1" thickBot="1">
      <c r="B33" s="24" t="s">
        <v>35</v>
      </c>
      <c r="C33" s="25" t="s">
        <v>36</v>
      </c>
      <c r="D33" s="26"/>
      <c r="E33" s="24" t="s">
        <v>34</v>
      </c>
      <c r="F33" s="25" t="s">
        <v>36</v>
      </c>
      <c r="G33" s="26"/>
      <c r="H33" s="24" t="s">
        <v>6</v>
      </c>
      <c r="I33" s="25" t="s">
        <v>36</v>
      </c>
      <c r="J33" s="26"/>
      <c r="K33" s="24" t="s">
        <v>29</v>
      </c>
      <c r="L33" s="25" t="s">
        <v>36</v>
      </c>
      <c r="M33" s="26"/>
      <c r="N33" s="24" t="s">
        <v>11</v>
      </c>
      <c r="O33" s="27" t="s">
        <v>36</v>
      </c>
    </row>
    <row r="34" spans="2:15" ht="15.6" thickTop="1">
      <c r="B34" s="3" t="s">
        <v>38</v>
      </c>
      <c r="C34" s="3">
        <f>COUNTIF(Table_test_case[FUNGTION],TablePage[[#This Row],[PAGE]])</f>
        <v>16</v>
      </c>
      <c r="E34" s="3" t="s">
        <v>8</v>
      </c>
      <c r="F34" s="3">
        <f>COUNTIF(Table_test_case[TEST TYPE],TableTestType[[#This Row],[TYPE TEST]])</f>
        <v>26</v>
      </c>
      <c r="H34" s="3" t="s">
        <v>25</v>
      </c>
      <c r="I34" s="3">
        <f>COUNTIF(Table_test_case[STATUS],TableStatus[[#This Row],[STATUS]])</f>
        <v>33</v>
      </c>
      <c r="K34" s="3" t="s">
        <v>30</v>
      </c>
      <c r="L34" s="3">
        <f>COUNTIF(Table_test_case[PRIORITY],TablePriority[[#This Row],[PRIORITY ]])</f>
        <v>0</v>
      </c>
      <c r="N34" s="3" t="s">
        <v>9</v>
      </c>
      <c r="O34" s="3">
        <f>COUNTIF(Table_test_case[PIC],TablePic[[#This Row],[PIC]])</f>
        <v>0</v>
      </c>
    </row>
    <row r="35" spans="2:15">
      <c r="B35" s="3" t="s">
        <v>39</v>
      </c>
      <c r="C35" s="3">
        <f>COUNTIF(Table_test_case[FUNGTION],TablePage[[#This Row],[PAGE]])</f>
        <v>10</v>
      </c>
      <c r="E35" s="3" t="s">
        <v>12</v>
      </c>
      <c r="F35" s="3">
        <f>COUNTIF(Table_test_case[TEST TYPE],TableTestType[[#This Row],[TYPE TEST]])</f>
        <v>10</v>
      </c>
      <c r="H35" s="3" t="s">
        <v>26</v>
      </c>
      <c r="I35" s="3">
        <f>COUNTIF(Table_test_case[STATUS],TableStatus[[#This Row],[STATUS]])</f>
        <v>0</v>
      </c>
      <c r="K35" s="3" t="s">
        <v>31</v>
      </c>
      <c r="L35" s="3">
        <f>COUNTIF(Table_test_case[PRIORITY],TablePriority[[#This Row],[PRIORITY ]])</f>
        <v>1</v>
      </c>
      <c r="N35" s="3" t="s">
        <v>41</v>
      </c>
      <c r="O35" s="3">
        <f>COUNTIF(Table_test_case[PIC],TablePic[[#This Row],[PIC]])</f>
        <v>0</v>
      </c>
    </row>
    <row r="36" spans="2:15">
      <c r="B36" s="3" t="s">
        <v>40</v>
      </c>
      <c r="C36" s="3">
        <f>COUNTIF(Table_test_case[FUNGTION],TablePage[[#This Row],[PAGE]])</f>
        <v>1</v>
      </c>
      <c r="H36" s="3" t="s">
        <v>27</v>
      </c>
      <c r="I36" s="3">
        <f>COUNTIF(Table_test_case[STATUS],TableStatus[[#This Row],[STATUS]])</f>
        <v>0</v>
      </c>
      <c r="K36" s="3" t="s">
        <v>32</v>
      </c>
      <c r="L36" s="3">
        <f>COUNTIF(Table_test_case[PRIORITY],TablePriority[[#This Row],[PRIORITY ]])</f>
        <v>16</v>
      </c>
      <c r="N36" s="3" t="s">
        <v>42</v>
      </c>
      <c r="O36" s="3">
        <f>COUNTIF(Table_test_case[PIC],TablePic[[#This Row],[PIC]])</f>
        <v>0</v>
      </c>
    </row>
    <row r="37" spans="2:15">
      <c r="B37" s="3" t="s">
        <v>158</v>
      </c>
      <c r="C37" s="3">
        <f>COUNTIF(Table_test_case[FUNGTION],TablePage[[#This Row],[PAGE]])</f>
        <v>9</v>
      </c>
      <c r="H37" s="3" t="s">
        <v>22</v>
      </c>
      <c r="I37" s="3">
        <f>COUNTIF(Table_test_case[STATUS],TableStatus[[#This Row],[STATUS]])</f>
        <v>3</v>
      </c>
      <c r="K37" s="3" t="s">
        <v>33</v>
      </c>
      <c r="L37" s="3">
        <f>COUNTIF(Table_test_case[PRIORITY],TablePriority[[#This Row],[PRIORITY ]])</f>
        <v>16</v>
      </c>
      <c r="N37" s="3" t="s">
        <v>43</v>
      </c>
      <c r="O37" s="4">
        <f>COUNTIF(Table_test_case[PIC],TablePic[[#This Row],[PIC]])</f>
        <v>0</v>
      </c>
    </row>
    <row r="38" spans="2:15">
      <c r="B38" s="3" t="s">
        <v>159</v>
      </c>
      <c r="C38" s="3">
        <f>COUNTIF(Table_test_case[FUNGTION],TablePage[[#This Row],[PAGE]])</f>
        <v>0</v>
      </c>
      <c r="I38" s="4"/>
      <c r="N38" s="3" t="s">
        <v>44</v>
      </c>
      <c r="O38" s="4">
        <f>COUNTIF(Table_test_case[PIC],TablePic[[#This Row],[PIC]])</f>
        <v>33</v>
      </c>
    </row>
    <row r="39" spans="2:15">
      <c r="B39" s="3" t="s">
        <v>160</v>
      </c>
      <c r="C39" s="3">
        <f>COUNTIF(Table_test_case[FUNGTION],TablePage[[#This Row],[PAGE]])</f>
        <v>0</v>
      </c>
      <c r="I39" s="4"/>
      <c r="N39" s="3" t="s">
        <v>45</v>
      </c>
      <c r="O39" s="4">
        <f>COUNTIF(Table_test_case[PIC],TablePic[[#This Row],[PIC]])</f>
        <v>0</v>
      </c>
    </row>
    <row r="40" spans="2:15">
      <c r="I40" s="4"/>
      <c r="N40" s="3" t="s">
        <v>46</v>
      </c>
      <c r="O40" s="4">
        <f>COUNTIF(Table_test_case[PIC],TablePic[[#This Row],[PIC]])</f>
        <v>0</v>
      </c>
    </row>
    <row r="41" spans="2:15">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S53"/>
  <sheetViews>
    <sheetView showGridLines="0" tabSelected="1" zoomScale="70" zoomScaleNormal="70" workbookViewId="0">
      <pane xSplit="6" ySplit="9" topLeftCell="G37" activePane="bottomRight" state="frozen"/>
      <selection activeCell="C17" sqref="C17:C18"/>
      <selection pane="topRight" activeCell="C17" sqref="C17:C18"/>
      <selection pane="bottomLeft" activeCell="C17" sqref="C17:C18"/>
      <selection pane="bottomRight" activeCell="H40" sqref="H40"/>
    </sheetView>
  </sheetViews>
  <sheetFormatPr defaultColWidth="9" defaultRowHeight="15" customHeight="1"/>
  <cols>
    <col min="1" max="1" width="4" style="9" customWidth="1"/>
    <col min="2" max="2" width="30.796875" style="9" customWidth="1"/>
    <col min="3" max="3" width="9.796875" style="9" customWidth="1"/>
    <col min="4" max="4" width="8.19921875" style="9" bestFit="1" customWidth="1"/>
    <col min="5" max="5" width="11" style="9" customWidth="1"/>
    <col min="6" max="6" width="2.5" style="9" customWidth="1"/>
    <col min="7" max="8" width="35.69921875" style="9" customWidth="1"/>
    <col min="9" max="9" width="37.5" style="9" bestFit="1" customWidth="1"/>
    <col min="10" max="11" width="35.69921875" style="9" customWidth="1"/>
    <col min="12" max="12" width="54.19921875" style="9" bestFit="1" customWidth="1"/>
    <col min="13" max="13" width="23.796875" style="9" customWidth="1"/>
    <col min="14" max="15" width="12.796875" style="9" customWidth="1"/>
    <col min="16" max="16" width="16.796875" style="9" customWidth="1"/>
    <col min="17" max="17" width="12.796875" style="9" customWidth="1"/>
    <col min="18" max="18" width="19.69921875" style="9" bestFit="1" customWidth="1"/>
    <col min="19" max="19" width="9" style="21"/>
    <col min="20" max="16384" width="9" style="9"/>
  </cols>
  <sheetData>
    <row r="1" spans="1:19" ht="15" customHeight="1">
      <c r="S1" s="9"/>
    </row>
    <row r="2" spans="1:19" ht="15" customHeight="1">
      <c r="A2" s="10"/>
      <c r="C2" s="35"/>
      <c r="D2" s="35"/>
      <c r="E2" s="35"/>
      <c r="F2" s="11"/>
      <c r="G2" s="12"/>
      <c r="H2" s="12"/>
      <c r="I2" s="13"/>
      <c r="J2" s="10"/>
      <c r="K2" s="10"/>
      <c r="L2" s="10"/>
      <c r="M2" s="10"/>
      <c r="N2" s="10"/>
      <c r="O2" s="10"/>
      <c r="P2" s="10"/>
      <c r="Q2" s="10"/>
      <c r="R2" s="10"/>
      <c r="S2" s="9"/>
    </row>
    <row r="3" spans="1:19" ht="15" customHeight="1">
      <c r="A3" s="10"/>
      <c r="C3" s="43"/>
      <c r="D3" s="43"/>
      <c r="E3" s="36"/>
      <c r="F3" s="11"/>
      <c r="G3" s="14"/>
      <c r="H3" s="14"/>
      <c r="I3" s="13"/>
      <c r="J3" s="10"/>
      <c r="K3" s="10"/>
      <c r="L3" s="10"/>
      <c r="M3" s="10"/>
      <c r="N3" s="10"/>
      <c r="O3" s="10"/>
      <c r="P3" s="10"/>
      <c r="Q3" s="10"/>
      <c r="R3" s="10"/>
      <c r="S3" s="9"/>
    </row>
    <row r="4" spans="1:19" ht="15" customHeight="1">
      <c r="A4" s="10"/>
      <c r="C4" s="43"/>
      <c r="D4" s="43"/>
      <c r="E4" s="37"/>
      <c r="F4" s="11"/>
      <c r="G4" s="15"/>
      <c r="H4" s="15"/>
      <c r="I4" s="13"/>
      <c r="J4" s="10"/>
      <c r="K4" s="10"/>
      <c r="L4" s="10"/>
      <c r="M4" s="10"/>
      <c r="N4" s="10"/>
      <c r="O4" s="10"/>
      <c r="P4" s="10"/>
      <c r="Q4" s="10"/>
      <c r="R4" s="10"/>
      <c r="S4" s="9"/>
    </row>
    <row r="5" spans="1:19" ht="15" customHeight="1">
      <c r="A5" s="10"/>
      <c r="C5" s="43"/>
      <c r="D5" s="43"/>
      <c r="E5" s="37"/>
      <c r="F5" s="16"/>
      <c r="G5" s="15"/>
      <c r="H5" s="15"/>
      <c r="I5" s="17"/>
      <c r="J5" s="10"/>
      <c r="K5" s="10"/>
      <c r="L5" s="10"/>
      <c r="M5" s="10"/>
      <c r="N5" s="10"/>
      <c r="O5" s="10"/>
      <c r="P5" s="10"/>
      <c r="Q5" s="10"/>
      <c r="R5" s="10"/>
      <c r="S5" s="9"/>
    </row>
    <row r="6" spans="1:19" ht="15" customHeight="1">
      <c r="A6" s="10"/>
      <c r="B6" s="18"/>
      <c r="C6" s="43"/>
      <c r="D6" s="43"/>
      <c r="E6" s="37"/>
      <c r="F6" s="18"/>
      <c r="G6" s="19"/>
      <c r="H6" s="19"/>
      <c r="I6" s="17"/>
      <c r="J6" s="10"/>
      <c r="K6" s="10"/>
      <c r="L6" s="10"/>
      <c r="M6" s="10"/>
      <c r="N6" s="10"/>
      <c r="O6" s="10"/>
      <c r="P6" s="10"/>
      <c r="Q6" s="10"/>
      <c r="R6" s="10"/>
      <c r="S6" s="9"/>
    </row>
    <row r="7" spans="1:19" ht="15" customHeight="1">
      <c r="A7" s="10"/>
      <c r="B7" s="18"/>
      <c r="F7" s="18"/>
      <c r="G7" s="19"/>
      <c r="H7" s="19"/>
      <c r="I7" s="17"/>
      <c r="J7" s="10"/>
      <c r="K7" s="10"/>
      <c r="L7" s="10"/>
      <c r="M7" s="10"/>
      <c r="N7" s="10"/>
      <c r="O7" s="10"/>
      <c r="P7" s="10"/>
      <c r="Q7" s="10"/>
      <c r="R7" s="10"/>
      <c r="S7" s="9"/>
    </row>
    <row r="8" spans="1:19" ht="15" customHeight="1">
      <c r="A8" s="10"/>
      <c r="B8" s="10"/>
      <c r="G8" s="13"/>
      <c r="H8" s="13"/>
      <c r="I8" s="13"/>
      <c r="J8" s="10"/>
      <c r="K8" s="10"/>
      <c r="L8" s="10"/>
      <c r="M8" s="10"/>
      <c r="N8" s="10"/>
      <c r="O8" s="10"/>
      <c r="P8" s="10"/>
      <c r="Q8" s="10"/>
      <c r="R8" s="10"/>
      <c r="S8" s="9"/>
    </row>
    <row r="9" spans="1:19" ht="39" customHeight="1">
      <c r="A9" s="33" t="s">
        <v>0</v>
      </c>
      <c r="B9" s="34" t="s">
        <v>1</v>
      </c>
      <c r="C9" s="34" t="s">
        <v>23</v>
      </c>
      <c r="D9" s="34" t="s">
        <v>5</v>
      </c>
      <c r="E9" s="34" t="s">
        <v>6</v>
      </c>
      <c r="F9" s="38" t="s">
        <v>37</v>
      </c>
      <c r="G9" s="34" t="s">
        <v>16</v>
      </c>
      <c r="H9" s="34" t="s">
        <v>17</v>
      </c>
      <c r="I9" s="34" t="s">
        <v>2</v>
      </c>
      <c r="J9" s="34" t="s">
        <v>3</v>
      </c>
      <c r="K9" s="34" t="s">
        <v>4</v>
      </c>
      <c r="L9" s="34" t="s">
        <v>7</v>
      </c>
      <c r="M9" s="34" t="s">
        <v>28</v>
      </c>
      <c r="N9" s="34" t="s">
        <v>11</v>
      </c>
      <c r="O9" s="34" t="s">
        <v>18</v>
      </c>
      <c r="P9" s="34" t="s">
        <v>19</v>
      </c>
      <c r="Q9" s="34" t="s">
        <v>20</v>
      </c>
      <c r="R9" s="34" t="s">
        <v>21</v>
      </c>
      <c r="S9" s="9"/>
    </row>
    <row r="10" spans="1:19" s="20" customFormat="1" ht="145.19999999999999" hidden="1">
      <c r="A10" s="31">
        <v>1</v>
      </c>
      <c r="B10" s="5" t="s">
        <v>38</v>
      </c>
      <c r="C10" s="5" t="s">
        <v>47</v>
      </c>
      <c r="D10" s="5" t="s">
        <v>8</v>
      </c>
      <c r="E10" s="5" t="s">
        <v>25</v>
      </c>
      <c r="F10" s="8"/>
      <c r="G10" s="6" t="s">
        <v>48</v>
      </c>
      <c r="H10" s="6" t="s">
        <v>49</v>
      </c>
      <c r="I10" s="6" t="s">
        <v>66</v>
      </c>
      <c r="J10" s="6" t="s">
        <v>50</v>
      </c>
      <c r="K10" s="6" t="s">
        <v>85</v>
      </c>
      <c r="L10" s="7" t="s">
        <v>51</v>
      </c>
      <c r="M10" s="7" t="s">
        <v>32</v>
      </c>
      <c r="N10" s="7" t="s">
        <v>44</v>
      </c>
      <c r="O10" s="5" t="s">
        <v>46</v>
      </c>
      <c r="P10" s="23">
        <v>44285.45</v>
      </c>
      <c r="Q10" s="7" t="s">
        <v>46</v>
      </c>
      <c r="R10" s="32">
        <v>44650.45</v>
      </c>
    </row>
    <row r="11" spans="1:19" s="20" customFormat="1" ht="52.8" hidden="1">
      <c r="A11" s="31">
        <v>2</v>
      </c>
      <c r="B11" s="5" t="s">
        <v>39</v>
      </c>
      <c r="C11" s="5" t="s">
        <v>52</v>
      </c>
      <c r="D11" s="5" t="s">
        <v>8</v>
      </c>
      <c r="E11" s="5" t="s">
        <v>25</v>
      </c>
      <c r="F11" s="8"/>
      <c r="G11" s="6" t="s">
        <v>53</v>
      </c>
      <c r="H11" s="6" t="s">
        <v>55</v>
      </c>
      <c r="I11" s="6" t="s">
        <v>54</v>
      </c>
      <c r="J11" s="6" t="s">
        <v>56</v>
      </c>
      <c r="K11" s="6" t="s">
        <v>57</v>
      </c>
      <c r="L11" s="7"/>
      <c r="M11" s="7" t="s">
        <v>33</v>
      </c>
      <c r="N11" s="7" t="s">
        <v>44</v>
      </c>
      <c r="O11" s="5" t="s">
        <v>46</v>
      </c>
      <c r="P11" s="23">
        <v>44650.471550925926</v>
      </c>
      <c r="Q11" s="7" t="s">
        <v>46</v>
      </c>
      <c r="R11" s="32">
        <v>44650.477777777778</v>
      </c>
    </row>
    <row r="12" spans="1:19" s="20" customFormat="1" ht="369.6" hidden="1">
      <c r="A12" s="31">
        <v>3</v>
      </c>
      <c r="B12" s="5" t="s">
        <v>40</v>
      </c>
      <c r="C12" s="5" t="s">
        <v>15</v>
      </c>
      <c r="D12" s="5" t="s">
        <v>8</v>
      </c>
      <c r="E12" s="5" t="s">
        <v>25</v>
      </c>
      <c r="F12" s="8"/>
      <c r="G12" s="6" t="s">
        <v>58</v>
      </c>
      <c r="H12" s="6" t="s">
        <v>59</v>
      </c>
      <c r="I12" s="6" t="s">
        <v>61</v>
      </c>
      <c r="J12" s="6" t="s">
        <v>62</v>
      </c>
      <c r="K12" s="6" t="s">
        <v>60</v>
      </c>
      <c r="L12" s="7"/>
      <c r="M12" s="7" t="s">
        <v>31</v>
      </c>
      <c r="N12" s="7" t="s">
        <v>44</v>
      </c>
      <c r="O12" s="5" t="s">
        <v>46</v>
      </c>
      <c r="P12" s="23">
        <v>44650.478217592594</v>
      </c>
      <c r="Q12" s="7" t="s">
        <v>46</v>
      </c>
      <c r="R12" s="23">
        <v>44650.490717592591</v>
      </c>
    </row>
    <row r="13" spans="1:19" s="20" customFormat="1" ht="79.2" hidden="1">
      <c r="A13" s="31">
        <v>4</v>
      </c>
      <c r="B13" s="5" t="s">
        <v>38</v>
      </c>
      <c r="C13" s="5" t="s">
        <v>63</v>
      </c>
      <c r="D13" s="5" t="s">
        <v>12</v>
      </c>
      <c r="E13" s="5" t="s">
        <v>25</v>
      </c>
      <c r="F13" s="8"/>
      <c r="G13" s="6" t="s">
        <v>64</v>
      </c>
      <c r="H13" s="6" t="s">
        <v>65</v>
      </c>
      <c r="I13" s="6" t="s">
        <v>67</v>
      </c>
      <c r="J13" s="6" t="s">
        <v>68</v>
      </c>
      <c r="K13" s="6" t="s">
        <v>69</v>
      </c>
      <c r="L13" s="7"/>
      <c r="M13" s="7" t="s">
        <v>32</v>
      </c>
      <c r="N13" s="7" t="s">
        <v>44</v>
      </c>
      <c r="O13" s="5" t="s">
        <v>46</v>
      </c>
      <c r="P13" s="23">
        <v>44650.500393518516</v>
      </c>
      <c r="Q13" s="7" t="s">
        <v>46</v>
      </c>
      <c r="R13" s="23" t="s">
        <v>70</v>
      </c>
    </row>
    <row r="14" spans="1:19" ht="92.4" hidden="1">
      <c r="A14" s="31">
        <v>5</v>
      </c>
      <c r="B14" s="5" t="s">
        <v>38</v>
      </c>
      <c r="C14" s="5" t="s">
        <v>87</v>
      </c>
      <c r="D14" s="5" t="s">
        <v>12</v>
      </c>
      <c r="E14" s="5" t="s">
        <v>25</v>
      </c>
      <c r="F14" s="8"/>
      <c r="G14" s="6" t="s">
        <v>71</v>
      </c>
      <c r="H14" s="6" t="s">
        <v>76</v>
      </c>
      <c r="I14" s="6" t="s">
        <v>74</v>
      </c>
      <c r="J14" s="6" t="s">
        <v>72</v>
      </c>
      <c r="K14" s="6" t="s">
        <v>73</v>
      </c>
      <c r="L14" s="7"/>
      <c r="M14" s="7" t="s">
        <v>32</v>
      </c>
      <c r="N14" s="7" t="s">
        <v>44</v>
      </c>
      <c r="O14" s="5" t="s">
        <v>46</v>
      </c>
      <c r="P14" s="23">
        <v>44650.544675925928</v>
      </c>
      <c r="Q14" s="7" t="s">
        <v>46</v>
      </c>
      <c r="R14" s="23">
        <v>44650.558564814812</v>
      </c>
    </row>
    <row r="15" spans="1:19" ht="79.2" hidden="1">
      <c r="A15" s="31">
        <v>6</v>
      </c>
      <c r="B15" s="5" t="s">
        <v>38</v>
      </c>
      <c r="C15" s="5" t="s">
        <v>88</v>
      </c>
      <c r="D15" s="5" t="s">
        <v>12</v>
      </c>
      <c r="E15" s="5" t="s">
        <v>25</v>
      </c>
      <c r="F15" s="8"/>
      <c r="G15" s="6" t="s">
        <v>75</v>
      </c>
      <c r="H15" s="6" t="s">
        <v>76</v>
      </c>
      <c r="I15" s="6" t="s">
        <v>67</v>
      </c>
      <c r="J15" s="6" t="s">
        <v>72</v>
      </c>
      <c r="K15" s="6" t="s">
        <v>73</v>
      </c>
      <c r="L15" s="7"/>
      <c r="M15" s="7" t="s">
        <v>32</v>
      </c>
      <c r="N15" s="7" t="s">
        <v>44</v>
      </c>
      <c r="O15" s="5" t="s">
        <v>46</v>
      </c>
      <c r="P15" s="23">
        <v>44650.559201388889</v>
      </c>
      <c r="Q15" s="7" t="s">
        <v>46</v>
      </c>
      <c r="R15" s="23">
        <v>44650.559895833336</v>
      </c>
    </row>
    <row r="16" spans="1:19" ht="105.6" hidden="1">
      <c r="A16" s="31">
        <v>7</v>
      </c>
      <c r="B16" s="5" t="s">
        <v>38</v>
      </c>
      <c r="C16" s="5" t="s">
        <v>89</v>
      </c>
      <c r="D16" s="5" t="s">
        <v>12</v>
      </c>
      <c r="E16" s="5" t="s">
        <v>25</v>
      </c>
      <c r="F16" s="8"/>
      <c r="G16" s="6" t="s">
        <v>78</v>
      </c>
      <c r="H16" s="6" t="s">
        <v>76</v>
      </c>
      <c r="I16" s="6" t="s">
        <v>77</v>
      </c>
      <c r="J16" s="6" t="s">
        <v>80</v>
      </c>
      <c r="K16" s="6" t="s">
        <v>79</v>
      </c>
      <c r="L16" s="7"/>
      <c r="M16" s="7" t="s">
        <v>32</v>
      </c>
      <c r="N16" s="7" t="s">
        <v>44</v>
      </c>
      <c r="O16" s="5" t="s">
        <v>46</v>
      </c>
      <c r="P16" s="23">
        <v>44650.560370370367</v>
      </c>
      <c r="Q16" s="7" t="s">
        <v>46</v>
      </c>
      <c r="R16" s="23">
        <v>44650.563842592594</v>
      </c>
    </row>
    <row r="17" spans="1:18" ht="105.6" hidden="1">
      <c r="A17" s="31">
        <v>8</v>
      </c>
      <c r="B17" s="5" t="s">
        <v>38</v>
      </c>
      <c r="C17" s="5" t="s">
        <v>90</v>
      </c>
      <c r="D17" s="5" t="s">
        <v>8</v>
      </c>
      <c r="E17" s="5" t="s">
        <v>25</v>
      </c>
      <c r="F17" s="8"/>
      <c r="G17" s="6" t="s">
        <v>81</v>
      </c>
      <c r="H17" s="6" t="s">
        <v>82</v>
      </c>
      <c r="I17" s="6" t="s">
        <v>83</v>
      </c>
      <c r="J17" s="6" t="s">
        <v>50</v>
      </c>
      <c r="K17" s="6" t="s">
        <v>84</v>
      </c>
      <c r="L17" s="7" t="s">
        <v>51</v>
      </c>
      <c r="M17" s="7" t="s">
        <v>32</v>
      </c>
      <c r="N17" s="7" t="s">
        <v>44</v>
      </c>
      <c r="O17" s="5" t="s">
        <v>46</v>
      </c>
      <c r="P17" s="23">
        <v>44650.563356481478</v>
      </c>
      <c r="Q17" s="7" t="s">
        <v>46</v>
      </c>
      <c r="R17" s="23">
        <v>44650.567523148151</v>
      </c>
    </row>
    <row r="18" spans="1:18" ht="79.2" hidden="1">
      <c r="A18" s="31">
        <v>9</v>
      </c>
      <c r="B18" s="5" t="s">
        <v>38</v>
      </c>
      <c r="C18" s="5" t="s">
        <v>86</v>
      </c>
      <c r="D18" s="5" t="s">
        <v>8</v>
      </c>
      <c r="E18" s="5" t="s">
        <v>25</v>
      </c>
      <c r="F18" s="8"/>
      <c r="G18" s="6" t="s">
        <v>91</v>
      </c>
      <c r="H18" s="6" t="s">
        <v>92</v>
      </c>
      <c r="I18" s="6" t="s">
        <v>93</v>
      </c>
      <c r="J18" s="6" t="s">
        <v>94</v>
      </c>
      <c r="K18" s="6" t="s">
        <v>95</v>
      </c>
      <c r="L18" s="7" t="s">
        <v>96</v>
      </c>
      <c r="M18" s="7" t="s">
        <v>32</v>
      </c>
      <c r="N18" s="7" t="s">
        <v>44</v>
      </c>
      <c r="O18" s="5" t="s">
        <v>46</v>
      </c>
      <c r="P18" s="23">
        <v>44650.567627314813</v>
      </c>
      <c r="Q18" s="7" t="s">
        <v>46</v>
      </c>
      <c r="R18" s="23">
        <v>44650.567627314813</v>
      </c>
    </row>
    <row r="19" spans="1:18" ht="66" hidden="1">
      <c r="A19" s="31">
        <v>10</v>
      </c>
      <c r="B19" s="5" t="s">
        <v>38</v>
      </c>
      <c r="C19" s="5" t="s">
        <v>97</v>
      </c>
      <c r="D19" s="5" t="s">
        <v>12</v>
      </c>
      <c r="E19" s="5" t="s">
        <v>25</v>
      </c>
      <c r="F19" s="8"/>
      <c r="G19" s="6" t="s">
        <v>98</v>
      </c>
      <c r="H19" s="6" t="s">
        <v>76</v>
      </c>
      <c r="I19" s="6" t="s">
        <v>99</v>
      </c>
      <c r="J19" s="42" t="s">
        <v>72</v>
      </c>
      <c r="K19" s="6" t="s">
        <v>114</v>
      </c>
      <c r="L19" s="7"/>
      <c r="M19" s="7" t="s">
        <v>32</v>
      </c>
      <c r="N19" s="7" t="s">
        <v>44</v>
      </c>
      <c r="O19" s="5" t="s">
        <v>46</v>
      </c>
      <c r="P19" s="23">
        <v>44650.571388888886</v>
      </c>
      <c r="Q19" s="7" t="s">
        <v>46</v>
      </c>
      <c r="R19" s="32">
        <v>44650.571388888886</v>
      </c>
    </row>
    <row r="20" spans="1:18" ht="118.8" hidden="1">
      <c r="A20" s="31">
        <v>11</v>
      </c>
      <c r="B20" s="5" t="s">
        <v>38</v>
      </c>
      <c r="C20" s="5" t="s">
        <v>100</v>
      </c>
      <c r="D20" s="5" t="s">
        <v>8</v>
      </c>
      <c r="E20" s="5" t="s">
        <v>25</v>
      </c>
      <c r="F20" s="8"/>
      <c r="G20" s="6" t="s">
        <v>104</v>
      </c>
      <c r="H20" s="6" t="s">
        <v>76</v>
      </c>
      <c r="I20" s="6" t="s">
        <v>101</v>
      </c>
      <c r="J20" s="6" t="s">
        <v>106</v>
      </c>
      <c r="K20" s="6" t="s">
        <v>103</v>
      </c>
      <c r="L20" s="7" t="s">
        <v>51</v>
      </c>
      <c r="M20" s="7" t="s">
        <v>32</v>
      </c>
      <c r="N20" s="7" t="s">
        <v>44</v>
      </c>
      <c r="O20" s="5" t="s">
        <v>46</v>
      </c>
      <c r="P20" s="23">
        <v>44650.571747685186</v>
      </c>
      <c r="Q20" s="7" t="s">
        <v>46</v>
      </c>
      <c r="R20" s="32">
        <v>44650.571747685186</v>
      </c>
    </row>
    <row r="21" spans="1:18" ht="118.8" hidden="1">
      <c r="A21" s="31">
        <v>12</v>
      </c>
      <c r="B21" s="5" t="s">
        <v>38</v>
      </c>
      <c r="C21" s="5" t="s">
        <v>102</v>
      </c>
      <c r="D21" s="5" t="s">
        <v>8</v>
      </c>
      <c r="E21" s="5" t="s">
        <v>25</v>
      </c>
      <c r="F21" s="8"/>
      <c r="G21" s="6" t="s">
        <v>105</v>
      </c>
      <c r="H21" s="6" t="s">
        <v>92</v>
      </c>
      <c r="I21" s="6" t="s">
        <v>108</v>
      </c>
      <c r="J21" s="6" t="s">
        <v>107</v>
      </c>
      <c r="K21" s="6" t="s">
        <v>103</v>
      </c>
      <c r="L21" s="7" t="s">
        <v>96</v>
      </c>
      <c r="M21" s="7" t="s">
        <v>32</v>
      </c>
      <c r="N21" s="7" t="s">
        <v>44</v>
      </c>
      <c r="O21" s="5" t="s">
        <v>46</v>
      </c>
      <c r="P21" s="23">
        <v>44650.576643518521</v>
      </c>
      <c r="Q21" s="7" t="s">
        <v>46</v>
      </c>
      <c r="R21" s="23">
        <v>44650.576643518521</v>
      </c>
    </row>
    <row r="22" spans="1:18" ht="118.8" hidden="1">
      <c r="A22" s="31">
        <v>13</v>
      </c>
      <c r="B22" s="5" t="s">
        <v>38</v>
      </c>
      <c r="C22" s="5" t="s">
        <v>109</v>
      </c>
      <c r="D22" s="5" t="s">
        <v>8</v>
      </c>
      <c r="E22" s="5" t="s">
        <v>25</v>
      </c>
      <c r="F22" s="8"/>
      <c r="G22" s="6" t="s">
        <v>110</v>
      </c>
      <c r="H22" s="6" t="s">
        <v>76</v>
      </c>
      <c r="I22" s="6" t="s">
        <v>101</v>
      </c>
      <c r="J22" s="6" t="s">
        <v>106</v>
      </c>
      <c r="K22" s="6" t="s">
        <v>103</v>
      </c>
      <c r="L22" s="7" t="s">
        <v>51</v>
      </c>
      <c r="M22" s="7" t="s">
        <v>32</v>
      </c>
      <c r="N22" s="7" t="s">
        <v>44</v>
      </c>
      <c r="O22" s="5" t="s">
        <v>46</v>
      </c>
      <c r="P22" s="23">
        <v>44650.588391203702</v>
      </c>
      <c r="Q22" s="7" t="s">
        <v>46</v>
      </c>
      <c r="R22" s="23">
        <v>44650.588391203702</v>
      </c>
    </row>
    <row r="23" spans="1:18" ht="79.2" hidden="1">
      <c r="A23" s="31">
        <v>14</v>
      </c>
      <c r="B23" s="5" t="s">
        <v>38</v>
      </c>
      <c r="C23" s="5" t="s">
        <v>111</v>
      </c>
      <c r="D23" s="5" t="s">
        <v>12</v>
      </c>
      <c r="E23" s="5" t="s">
        <v>25</v>
      </c>
      <c r="F23" s="8"/>
      <c r="G23" s="6" t="s">
        <v>112</v>
      </c>
      <c r="H23" s="6" t="s">
        <v>76</v>
      </c>
      <c r="I23" s="6" t="s">
        <v>113</v>
      </c>
      <c r="J23" s="6" t="s">
        <v>72</v>
      </c>
      <c r="K23" s="6" t="s">
        <v>114</v>
      </c>
      <c r="L23" s="7"/>
      <c r="M23" s="7" t="s">
        <v>32</v>
      </c>
      <c r="N23" s="7" t="s">
        <v>44</v>
      </c>
      <c r="O23" s="5" t="s">
        <v>46</v>
      </c>
      <c r="P23" s="23">
        <v>44650.594722222224</v>
      </c>
      <c r="Q23" s="7" t="s">
        <v>46</v>
      </c>
      <c r="R23" s="23">
        <v>44650.594722222224</v>
      </c>
    </row>
    <row r="24" spans="1:18" ht="79.2" hidden="1">
      <c r="A24" s="31">
        <v>15</v>
      </c>
      <c r="B24" s="5" t="s">
        <v>38</v>
      </c>
      <c r="C24" s="5" t="s">
        <v>115</v>
      </c>
      <c r="D24" s="5" t="s">
        <v>12</v>
      </c>
      <c r="E24" s="5" t="s">
        <v>25</v>
      </c>
      <c r="F24" s="8"/>
      <c r="G24" s="6" t="s">
        <v>116</v>
      </c>
      <c r="H24" s="6" t="s">
        <v>76</v>
      </c>
      <c r="I24" s="6" t="s">
        <v>113</v>
      </c>
      <c r="J24" s="6" t="s">
        <v>72</v>
      </c>
      <c r="K24" s="6" t="s">
        <v>123</v>
      </c>
      <c r="L24" s="7"/>
      <c r="M24" s="7" t="s">
        <v>32</v>
      </c>
      <c r="N24" s="7" t="s">
        <v>44</v>
      </c>
      <c r="O24" s="5" t="s">
        <v>46</v>
      </c>
      <c r="P24" s="23">
        <v>44650.596631944441</v>
      </c>
      <c r="Q24" s="7" t="s">
        <v>46</v>
      </c>
      <c r="R24" s="23">
        <v>44650.596631944441</v>
      </c>
    </row>
    <row r="25" spans="1:18" ht="79.2" hidden="1">
      <c r="A25" s="31">
        <v>16</v>
      </c>
      <c r="B25" s="5" t="s">
        <v>38</v>
      </c>
      <c r="C25" s="5" t="s">
        <v>120</v>
      </c>
      <c r="D25" s="5" t="s">
        <v>12</v>
      </c>
      <c r="E25" s="5" t="s">
        <v>25</v>
      </c>
      <c r="F25" s="8"/>
      <c r="G25" s="6" t="s">
        <v>117</v>
      </c>
      <c r="H25" s="6" t="s">
        <v>76</v>
      </c>
      <c r="I25" s="6" t="s">
        <v>113</v>
      </c>
      <c r="J25" s="6" t="s">
        <v>72</v>
      </c>
      <c r="K25" s="6" t="s">
        <v>123</v>
      </c>
      <c r="L25" s="7"/>
      <c r="M25" s="7" t="s">
        <v>32</v>
      </c>
      <c r="N25" s="7" t="s">
        <v>44</v>
      </c>
      <c r="O25" s="5" t="s">
        <v>46</v>
      </c>
      <c r="P25" s="23">
        <v>44650.597800925927</v>
      </c>
      <c r="Q25" s="7" t="s">
        <v>46</v>
      </c>
      <c r="R25" s="23">
        <v>44650.597800925927</v>
      </c>
    </row>
    <row r="26" spans="1:18" ht="79.2" hidden="1">
      <c r="A26" s="31">
        <v>17</v>
      </c>
      <c r="B26" s="5" t="s">
        <v>38</v>
      </c>
      <c r="C26" s="5" t="s">
        <v>121</v>
      </c>
      <c r="D26" s="5" t="s">
        <v>12</v>
      </c>
      <c r="E26" s="5" t="s">
        <v>25</v>
      </c>
      <c r="F26" s="8"/>
      <c r="G26" s="6" t="s">
        <v>118</v>
      </c>
      <c r="H26" s="6" t="s">
        <v>76</v>
      </c>
      <c r="I26" s="6" t="s">
        <v>113</v>
      </c>
      <c r="J26" s="6" t="s">
        <v>72</v>
      </c>
      <c r="K26" s="6" t="s">
        <v>123</v>
      </c>
      <c r="L26" s="7"/>
      <c r="M26" s="7" t="s">
        <v>32</v>
      </c>
      <c r="N26" s="7" t="s">
        <v>44</v>
      </c>
      <c r="O26" s="5" t="s">
        <v>46</v>
      </c>
      <c r="P26" s="23">
        <v>44650.598541666666</v>
      </c>
      <c r="Q26" s="7" t="s">
        <v>46</v>
      </c>
      <c r="R26" s="23">
        <v>44650.598541666666</v>
      </c>
    </row>
    <row r="27" spans="1:18" ht="79.2" hidden="1">
      <c r="A27" s="31">
        <v>18</v>
      </c>
      <c r="B27" s="5" t="s">
        <v>38</v>
      </c>
      <c r="C27" s="5" t="s">
        <v>122</v>
      </c>
      <c r="D27" s="5" t="s">
        <v>12</v>
      </c>
      <c r="E27" s="5" t="s">
        <v>25</v>
      </c>
      <c r="F27" s="8"/>
      <c r="G27" s="6" t="s">
        <v>119</v>
      </c>
      <c r="H27" s="6" t="s">
        <v>76</v>
      </c>
      <c r="I27" s="6" t="s">
        <v>113</v>
      </c>
      <c r="J27" s="6" t="s">
        <v>72</v>
      </c>
      <c r="K27" s="6" t="s">
        <v>123</v>
      </c>
      <c r="L27" s="7"/>
      <c r="M27" s="7" t="s">
        <v>32</v>
      </c>
      <c r="N27" s="7" t="s">
        <v>44</v>
      </c>
      <c r="O27" s="5" t="s">
        <v>46</v>
      </c>
      <c r="P27" s="23">
        <v>44650.599178240744</v>
      </c>
      <c r="Q27" s="7" t="s">
        <v>46</v>
      </c>
      <c r="R27" s="23">
        <v>44650.599178240744</v>
      </c>
    </row>
    <row r="28" spans="1:18" ht="52.8" hidden="1">
      <c r="A28" s="31">
        <v>19</v>
      </c>
      <c r="B28" s="5" t="s">
        <v>39</v>
      </c>
      <c r="C28" s="5" t="s">
        <v>124</v>
      </c>
      <c r="D28" s="5" t="s">
        <v>8</v>
      </c>
      <c r="E28" s="5" t="s">
        <v>25</v>
      </c>
      <c r="F28" s="8"/>
      <c r="G28" s="6" t="s">
        <v>129</v>
      </c>
      <c r="H28" s="6" t="s">
        <v>128</v>
      </c>
      <c r="I28" s="6" t="s">
        <v>138</v>
      </c>
      <c r="J28" s="6" t="s">
        <v>125</v>
      </c>
      <c r="K28" s="6" t="s">
        <v>126</v>
      </c>
      <c r="L28" s="7"/>
      <c r="M28" s="7" t="s">
        <v>33</v>
      </c>
      <c r="N28" s="7" t="s">
        <v>44</v>
      </c>
      <c r="O28" s="5" t="s">
        <v>46</v>
      </c>
      <c r="P28" s="23">
        <v>44650.604004629633</v>
      </c>
      <c r="Q28" s="7" t="s">
        <v>46</v>
      </c>
      <c r="R28" s="23">
        <v>44650.604004629633</v>
      </c>
    </row>
    <row r="29" spans="1:18" ht="52.8" hidden="1">
      <c r="A29" s="31">
        <v>20</v>
      </c>
      <c r="B29" s="5" t="s">
        <v>39</v>
      </c>
      <c r="C29" s="5" t="s">
        <v>127</v>
      </c>
      <c r="D29" s="5" t="s">
        <v>8</v>
      </c>
      <c r="E29" s="5" t="s">
        <v>25</v>
      </c>
      <c r="F29" s="8"/>
      <c r="G29" s="6" t="s">
        <v>154</v>
      </c>
      <c r="H29" s="6" t="s">
        <v>128</v>
      </c>
      <c r="I29" s="6" t="s">
        <v>155</v>
      </c>
      <c r="J29" s="6" t="s">
        <v>156</v>
      </c>
      <c r="K29" s="6" t="s">
        <v>157</v>
      </c>
      <c r="L29" s="7"/>
      <c r="M29" s="7" t="s">
        <v>33</v>
      </c>
      <c r="N29" s="7" t="s">
        <v>44</v>
      </c>
      <c r="O29" s="5" t="s">
        <v>46</v>
      </c>
      <c r="P29" s="23">
        <v>44650.644699074073</v>
      </c>
      <c r="Q29" s="7" t="s">
        <v>46</v>
      </c>
      <c r="R29" s="23">
        <v>44650.405810185184</v>
      </c>
    </row>
    <row r="30" spans="1:18" ht="26.4" hidden="1">
      <c r="A30" s="31">
        <v>21</v>
      </c>
      <c r="B30" s="5" t="s">
        <v>39</v>
      </c>
      <c r="C30" s="5" t="s">
        <v>130</v>
      </c>
      <c r="D30" s="5" t="s">
        <v>8</v>
      </c>
      <c r="E30" s="5" t="s">
        <v>22</v>
      </c>
      <c r="F30" s="8"/>
      <c r="G30" s="6" t="s">
        <v>133</v>
      </c>
      <c r="H30" s="6"/>
      <c r="I30" s="6"/>
      <c r="J30" s="6"/>
      <c r="K30" s="6"/>
      <c r="L30" s="7"/>
      <c r="M30" s="7"/>
      <c r="N30" s="7"/>
      <c r="O30" s="5"/>
      <c r="P30" s="23">
        <v>44650.645810185182</v>
      </c>
      <c r="Q30" s="7"/>
      <c r="R30" s="32"/>
    </row>
    <row r="31" spans="1:18" ht="39.6" hidden="1">
      <c r="A31" s="31">
        <v>22</v>
      </c>
      <c r="B31" s="5" t="s">
        <v>39</v>
      </c>
      <c r="C31" s="5" t="s">
        <v>131</v>
      </c>
      <c r="D31" s="5" t="s">
        <v>8</v>
      </c>
      <c r="E31" s="5" t="s">
        <v>22</v>
      </c>
      <c r="F31" s="8"/>
      <c r="G31" s="6" t="s">
        <v>134</v>
      </c>
      <c r="H31" s="6"/>
      <c r="I31" s="6"/>
      <c r="J31" s="6"/>
      <c r="K31" s="6"/>
      <c r="L31" s="7"/>
      <c r="M31" s="7"/>
      <c r="N31" s="7"/>
      <c r="O31" s="5"/>
      <c r="P31" s="23">
        <v>44650.64634259259</v>
      </c>
      <c r="Q31" s="7"/>
      <c r="R31" s="32"/>
    </row>
    <row r="32" spans="1:18" ht="26.4" hidden="1">
      <c r="A32" s="31">
        <v>23</v>
      </c>
      <c r="B32" s="5" t="s">
        <v>39</v>
      </c>
      <c r="C32" s="5" t="s">
        <v>132</v>
      </c>
      <c r="D32" s="5" t="s">
        <v>8</v>
      </c>
      <c r="E32" s="5" t="s">
        <v>22</v>
      </c>
      <c r="F32" s="8"/>
      <c r="G32" s="6" t="s">
        <v>135</v>
      </c>
      <c r="H32" s="6"/>
      <c r="I32" s="6"/>
      <c r="J32" s="6"/>
      <c r="K32" s="6"/>
      <c r="L32" s="7"/>
      <c r="M32" s="7"/>
      <c r="N32" s="7"/>
      <c r="O32" s="5"/>
      <c r="P32" s="23">
        <v>44650.649768518517</v>
      </c>
      <c r="Q32" s="7"/>
      <c r="R32" s="32"/>
    </row>
    <row r="33" spans="1:18" ht="52.8" hidden="1">
      <c r="A33" s="31">
        <v>24</v>
      </c>
      <c r="B33" s="5" t="s">
        <v>39</v>
      </c>
      <c r="C33" s="5" t="s">
        <v>136</v>
      </c>
      <c r="D33" s="5" t="s">
        <v>8</v>
      </c>
      <c r="E33" s="5" t="s">
        <v>25</v>
      </c>
      <c r="F33" s="8"/>
      <c r="G33" s="6" t="s">
        <v>137</v>
      </c>
      <c r="H33" s="6" t="s">
        <v>128</v>
      </c>
      <c r="I33" s="6" t="s">
        <v>139</v>
      </c>
      <c r="J33" s="6" t="s">
        <v>56</v>
      </c>
      <c r="K33" s="6" t="s">
        <v>140</v>
      </c>
      <c r="L33" s="7"/>
      <c r="M33" s="7" t="s">
        <v>33</v>
      </c>
      <c r="N33" s="7" t="s">
        <v>44</v>
      </c>
      <c r="O33" s="5" t="s">
        <v>46</v>
      </c>
      <c r="P33" s="23">
        <v>44651.391909722224</v>
      </c>
      <c r="Q33" s="7" t="s">
        <v>46</v>
      </c>
      <c r="R33" s="23">
        <v>44651.394687499997</v>
      </c>
    </row>
    <row r="34" spans="1:18" ht="52.8" hidden="1">
      <c r="A34" s="31">
        <v>25</v>
      </c>
      <c r="B34" s="5" t="s">
        <v>39</v>
      </c>
      <c r="C34" s="5" t="s">
        <v>141</v>
      </c>
      <c r="D34" s="5" t="s">
        <v>8</v>
      </c>
      <c r="E34" s="5" t="s">
        <v>25</v>
      </c>
      <c r="F34" s="8"/>
      <c r="G34" s="6" t="s">
        <v>142</v>
      </c>
      <c r="H34" s="6" t="s">
        <v>128</v>
      </c>
      <c r="I34" s="6" t="s">
        <v>143</v>
      </c>
      <c r="J34" s="6" t="s">
        <v>56</v>
      </c>
      <c r="K34" s="6" t="s">
        <v>140</v>
      </c>
      <c r="L34" s="7"/>
      <c r="M34" s="7" t="s">
        <v>33</v>
      </c>
      <c r="N34" s="7" t="s">
        <v>44</v>
      </c>
      <c r="O34" s="5" t="s">
        <v>46</v>
      </c>
      <c r="P34" s="23">
        <v>44651.394884259258</v>
      </c>
      <c r="Q34" s="7" t="s">
        <v>46</v>
      </c>
      <c r="R34" s="23">
        <v>44651.396967592591</v>
      </c>
    </row>
    <row r="35" spans="1:18" ht="52.8" hidden="1">
      <c r="A35" s="31">
        <v>26</v>
      </c>
      <c r="B35" s="5" t="s">
        <v>39</v>
      </c>
      <c r="C35" s="5" t="s">
        <v>144</v>
      </c>
      <c r="D35" s="5" t="s">
        <v>8</v>
      </c>
      <c r="E35" s="5" t="s">
        <v>25</v>
      </c>
      <c r="F35" s="8"/>
      <c r="G35" s="6" t="s">
        <v>145</v>
      </c>
      <c r="H35" s="6" t="s">
        <v>128</v>
      </c>
      <c r="I35" s="6" t="s">
        <v>146</v>
      </c>
      <c r="J35" s="6" t="s">
        <v>147</v>
      </c>
      <c r="K35" s="6" t="s">
        <v>148</v>
      </c>
      <c r="L35" s="7"/>
      <c r="M35" s="7" t="s">
        <v>33</v>
      </c>
      <c r="N35" s="7" t="s">
        <v>44</v>
      </c>
      <c r="O35" s="5" t="s">
        <v>46</v>
      </c>
      <c r="P35" s="23">
        <v>44651.397372685184</v>
      </c>
      <c r="Q35" s="7" t="s">
        <v>46</v>
      </c>
      <c r="R35" s="23">
        <v>44651.399456018517</v>
      </c>
    </row>
    <row r="36" spans="1:18" ht="52.8" hidden="1">
      <c r="A36" s="31">
        <v>27</v>
      </c>
      <c r="B36" s="5" t="s">
        <v>39</v>
      </c>
      <c r="C36" s="5" t="s">
        <v>149</v>
      </c>
      <c r="D36" s="5" t="s">
        <v>8</v>
      </c>
      <c r="E36" s="5" t="s">
        <v>25</v>
      </c>
      <c r="F36" s="8"/>
      <c r="G36" s="6" t="s">
        <v>150</v>
      </c>
      <c r="H36" s="6" t="s">
        <v>128</v>
      </c>
      <c r="I36" s="6" t="s">
        <v>151</v>
      </c>
      <c r="J36" s="6" t="s">
        <v>152</v>
      </c>
      <c r="K36" s="6" t="s">
        <v>153</v>
      </c>
      <c r="L36" s="7"/>
      <c r="M36" s="7" t="s">
        <v>33</v>
      </c>
      <c r="N36" s="7" t="s">
        <v>44</v>
      </c>
      <c r="O36" s="5" t="s">
        <v>46</v>
      </c>
      <c r="P36" s="23">
        <v>44651.399745370371</v>
      </c>
      <c r="Q36" s="7" t="s">
        <v>46</v>
      </c>
      <c r="R36" s="23">
        <v>44651.403217592589</v>
      </c>
    </row>
    <row r="37" spans="1:18" ht="26.4">
      <c r="A37" s="31">
        <v>28</v>
      </c>
      <c r="B37" s="5" t="s">
        <v>158</v>
      </c>
      <c r="C37" s="5" t="s">
        <v>161</v>
      </c>
      <c r="D37" s="5" t="s">
        <v>8</v>
      </c>
      <c r="E37" s="5" t="s">
        <v>25</v>
      </c>
      <c r="F37" s="8"/>
      <c r="G37" s="6" t="s">
        <v>162</v>
      </c>
      <c r="H37" s="6" t="s">
        <v>128</v>
      </c>
      <c r="I37" s="6" t="s">
        <v>163</v>
      </c>
      <c r="J37" s="6" t="s">
        <v>164</v>
      </c>
      <c r="K37" s="6" t="s">
        <v>57</v>
      </c>
      <c r="L37" s="7"/>
      <c r="M37" s="7" t="s">
        <v>33</v>
      </c>
      <c r="N37" s="7" t="s">
        <v>44</v>
      </c>
      <c r="O37" s="5" t="s">
        <v>46</v>
      </c>
      <c r="P37" s="23">
        <v>44687.435567129629</v>
      </c>
      <c r="Q37" s="7" t="s">
        <v>46</v>
      </c>
      <c r="R37" s="23">
        <v>44687.435567129629</v>
      </c>
    </row>
    <row r="38" spans="1:18" ht="26.4">
      <c r="A38" s="31">
        <v>29</v>
      </c>
      <c r="B38" s="5" t="s">
        <v>158</v>
      </c>
      <c r="C38" s="5" t="s">
        <v>165</v>
      </c>
      <c r="D38" s="5" t="s">
        <v>8</v>
      </c>
      <c r="E38" s="5" t="s">
        <v>25</v>
      </c>
      <c r="F38" s="8"/>
      <c r="G38" s="6" t="s">
        <v>166</v>
      </c>
      <c r="H38" s="6" t="s">
        <v>128</v>
      </c>
      <c r="I38" s="6" t="s">
        <v>167</v>
      </c>
      <c r="J38" s="6" t="s">
        <v>168</v>
      </c>
      <c r="K38" s="6" t="s">
        <v>168</v>
      </c>
      <c r="L38" s="7"/>
      <c r="M38" s="7" t="s">
        <v>33</v>
      </c>
      <c r="N38" s="7" t="s">
        <v>44</v>
      </c>
      <c r="O38" s="5" t="s">
        <v>46</v>
      </c>
      <c r="P38" s="23">
        <v>44687.452060185184</v>
      </c>
      <c r="Q38" s="7" t="s">
        <v>46</v>
      </c>
      <c r="R38" s="23">
        <v>44687.452060185184</v>
      </c>
    </row>
    <row r="39" spans="1:18" ht="26.4">
      <c r="A39" s="31">
        <v>30</v>
      </c>
      <c r="B39" s="5" t="s">
        <v>158</v>
      </c>
      <c r="C39" s="5" t="s">
        <v>169</v>
      </c>
      <c r="D39" s="5" t="s">
        <v>8</v>
      </c>
      <c r="E39" s="5" t="s">
        <v>25</v>
      </c>
      <c r="F39" s="8"/>
      <c r="G39" s="6" t="s">
        <v>170</v>
      </c>
      <c r="H39" s="6" t="s">
        <v>128</v>
      </c>
      <c r="I39" s="6" t="s">
        <v>171</v>
      </c>
      <c r="J39" s="6" t="s">
        <v>172</v>
      </c>
      <c r="K39" s="6" t="s">
        <v>172</v>
      </c>
      <c r="L39" s="7"/>
      <c r="M39" s="7" t="s">
        <v>33</v>
      </c>
      <c r="N39" s="7" t="s">
        <v>44</v>
      </c>
      <c r="O39" s="5" t="s">
        <v>46</v>
      </c>
      <c r="P39" s="23">
        <v>44687.454189814816</v>
      </c>
      <c r="Q39" s="7" t="s">
        <v>46</v>
      </c>
      <c r="R39" s="23">
        <v>44687.454189814816</v>
      </c>
    </row>
    <row r="40" spans="1:18" ht="52.8">
      <c r="A40" s="31">
        <v>31</v>
      </c>
      <c r="B40" s="5" t="s">
        <v>158</v>
      </c>
      <c r="C40" s="5" t="s">
        <v>173</v>
      </c>
      <c r="D40" s="5" t="s">
        <v>8</v>
      </c>
      <c r="E40" s="5" t="s">
        <v>25</v>
      </c>
      <c r="F40" s="8"/>
      <c r="G40" s="6" t="s">
        <v>174</v>
      </c>
      <c r="H40" s="6" t="s">
        <v>128</v>
      </c>
      <c r="I40" s="6" t="s">
        <v>175</v>
      </c>
      <c r="J40" s="6" t="s">
        <v>176</v>
      </c>
      <c r="K40" s="6" t="s">
        <v>176</v>
      </c>
      <c r="L40" s="7"/>
      <c r="M40" s="7" t="s">
        <v>33</v>
      </c>
      <c r="N40" s="7" t="s">
        <v>44</v>
      </c>
      <c r="O40" s="5" t="s">
        <v>46</v>
      </c>
      <c r="P40" s="23">
        <v>44687.456284722219</v>
      </c>
      <c r="Q40" s="7" t="s">
        <v>46</v>
      </c>
      <c r="R40" s="23">
        <v>44687.456284722219</v>
      </c>
    </row>
    <row r="41" spans="1:18" ht="39.6">
      <c r="A41" s="31">
        <v>32</v>
      </c>
      <c r="B41" s="5" t="s">
        <v>158</v>
      </c>
      <c r="C41" s="5" t="s">
        <v>177</v>
      </c>
      <c r="D41" s="5" t="s">
        <v>8</v>
      </c>
      <c r="E41" s="5" t="s">
        <v>25</v>
      </c>
      <c r="F41" s="8"/>
      <c r="G41" s="6" t="s">
        <v>178</v>
      </c>
      <c r="H41" s="6" t="s">
        <v>128</v>
      </c>
      <c r="I41" s="6" t="s">
        <v>179</v>
      </c>
      <c r="J41" s="6" t="s">
        <v>180</v>
      </c>
      <c r="K41" s="6" t="s">
        <v>180</v>
      </c>
      <c r="L41" s="7"/>
      <c r="M41" s="7" t="s">
        <v>33</v>
      </c>
      <c r="N41" s="7" t="s">
        <v>44</v>
      </c>
      <c r="O41" s="5" t="s">
        <v>46</v>
      </c>
      <c r="P41" s="23">
        <v>44687.460127314815</v>
      </c>
      <c r="Q41" s="7" t="s">
        <v>46</v>
      </c>
      <c r="R41" s="23">
        <v>44687.460127314815</v>
      </c>
    </row>
    <row r="42" spans="1:18" ht="52.8">
      <c r="A42" s="31">
        <v>33</v>
      </c>
      <c r="B42" s="5" t="s">
        <v>158</v>
      </c>
      <c r="C42" s="5" t="s">
        <v>181</v>
      </c>
      <c r="D42" s="5" t="s">
        <v>8</v>
      </c>
      <c r="E42" s="5" t="s">
        <v>25</v>
      </c>
      <c r="F42" s="8"/>
      <c r="G42" s="6" t="s">
        <v>186</v>
      </c>
      <c r="H42" s="6" t="s">
        <v>128</v>
      </c>
      <c r="I42" s="6" t="s">
        <v>182</v>
      </c>
      <c r="J42" s="6" t="s">
        <v>183</v>
      </c>
      <c r="K42" s="6" t="s">
        <v>183</v>
      </c>
      <c r="L42" s="7"/>
      <c r="M42" s="7" t="s">
        <v>33</v>
      </c>
      <c r="N42" s="7" t="s">
        <v>44</v>
      </c>
      <c r="O42" s="5" t="s">
        <v>46</v>
      </c>
      <c r="P42" s="23">
        <v>44687.469224537039</v>
      </c>
      <c r="Q42" s="7" t="s">
        <v>46</v>
      </c>
      <c r="R42" s="23">
        <v>44687.469224537039</v>
      </c>
    </row>
    <row r="43" spans="1:18" ht="39.6">
      <c r="A43" s="31">
        <v>34</v>
      </c>
      <c r="B43" s="5" t="s">
        <v>158</v>
      </c>
      <c r="C43" s="5" t="s">
        <v>184</v>
      </c>
      <c r="D43" s="5" t="s">
        <v>8</v>
      </c>
      <c r="E43" s="5" t="s">
        <v>25</v>
      </c>
      <c r="F43" s="8"/>
      <c r="G43" s="6" t="s">
        <v>185</v>
      </c>
      <c r="H43" s="6" t="s">
        <v>128</v>
      </c>
      <c r="I43" s="6" t="s">
        <v>187</v>
      </c>
      <c r="J43" s="6" t="s">
        <v>188</v>
      </c>
      <c r="K43" s="6" t="s">
        <v>188</v>
      </c>
      <c r="L43" s="7"/>
      <c r="M43" s="7" t="s">
        <v>33</v>
      </c>
      <c r="N43" s="7" t="s">
        <v>44</v>
      </c>
      <c r="O43" s="5" t="s">
        <v>46</v>
      </c>
      <c r="P43" s="23">
        <v>44687.582766203705</v>
      </c>
      <c r="Q43" s="7" t="s">
        <v>46</v>
      </c>
      <c r="R43" s="23">
        <v>44687.582766203705</v>
      </c>
    </row>
    <row r="44" spans="1:18" ht="39.6">
      <c r="A44" s="31">
        <v>35</v>
      </c>
      <c r="B44" s="5" t="s">
        <v>158</v>
      </c>
      <c r="C44" s="5" t="s">
        <v>189</v>
      </c>
      <c r="D44" s="5" t="s">
        <v>8</v>
      </c>
      <c r="E44" s="5" t="s">
        <v>25</v>
      </c>
      <c r="F44" s="8"/>
      <c r="G44" s="6" t="s">
        <v>190</v>
      </c>
      <c r="H44" s="6" t="s">
        <v>128</v>
      </c>
      <c r="I44" s="6" t="s">
        <v>191</v>
      </c>
      <c r="J44" s="6" t="s">
        <v>192</v>
      </c>
      <c r="K44" s="6" t="s">
        <v>192</v>
      </c>
      <c r="L44" s="7"/>
      <c r="M44" s="7" t="s">
        <v>33</v>
      </c>
      <c r="N44" s="7" t="s">
        <v>44</v>
      </c>
      <c r="O44" s="5" t="s">
        <v>46</v>
      </c>
      <c r="P44" s="23">
        <v>44687.587511574071</v>
      </c>
      <c r="Q44" s="7" t="s">
        <v>46</v>
      </c>
      <c r="R44" s="23">
        <v>44687.587511574071</v>
      </c>
    </row>
    <row r="45" spans="1:18" ht="26.4">
      <c r="A45" s="31">
        <v>36</v>
      </c>
      <c r="B45" s="5" t="s">
        <v>158</v>
      </c>
      <c r="C45" s="5" t="s">
        <v>193</v>
      </c>
      <c r="D45" s="5" t="s">
        <v>8</v>
      </c>
      <c r="E45" s="5" t="s">
        <v>25</v>
      </c>
      <c r="F45" s="8"/>
      <c r="G45" s="6" t="s">
        <v>194</v>
      </c>
      <c r="H45" s="6" t="s">
        <v>128</v>
      </c>
      <c r="I45" s="6" t="s">
        <v>195</v>
      </c>
      <c r="J45" s="6" t="s">
        <v>196</v>
      </c>
      <c r="K45" s="6" t="s">
        <v>196</v>
      </c>
      <c r="L45" s="7"/>
      <c r="M45" s="7" t="s">
        <v>33</v>
      </c>
      <c r="N45" s="7" t="s">
        <v>44</v>
      </c>
      <c r="O45" s="5" t="s">
        <v>46</v>
      </c>
      <c r="P45" s="23">
        <v>44687.59065972222</v>
      </c>
      <c r="Q45" s="7" t="s">
        <v>46</v>
      </c>
      <c r="R45" s="23">
        <v>44687.59065972222</v>
      </c>
    </row>
    <row r="46" spans="1:18" ht="13.2"/>
    <row r="48" spans="1:18" ht="15" customHeight="1">
      <c r="B48" s="39" t="s">
        <v>10</v>
      </c>
      <c r="C48" s="39" t="s">
        <v>24</v>
      </c>
      <c r="E48" s="22"/>
    </row>
    <row r="49" spans="2:10" ht="15" customHeight="1">
      <c r="B49" s="40" t="str" cm="1">
        <f t="array" ref="B49:C52">Dashboard!H34:I37</f>
        <v>Passed</v>
      </c>
      <c r="C49" s="40">
        <v>33</v>
      </c>
      <c r="D49" s="22"/>
      <c r="E49" s="22"/>
      <c r="J49" s="9">
        <f ca="1">J49</f>
        <v>0</v>
      </c>
    </row>
    <row r="50" spans="2:10" ht="15" customHeight="1">
      <c r="B50" s="40" t="str">
        <v>Failed</v>
      </c>
      <c r="C50" s="40">
        <v>0</v>
      </c>
    </row>
    <row r="51" spans="2:10" ht="15" customHeight="1">
      <c r="B51" s="40" t="str">
        <v>Not Executed</v>
      </c>
      <c r="C51" s="40">
        <v>0</v>
      </c>
    </row>
    <row r="52" spans="2:10" ht="15" customHeight="1">
      <c r="B52" s="40" t="str">
        <v>Not Ready</v>
      </c>
      <c r="C52" s="40">
        <v>3</v>
      </c>
    </row>
    <row r="53" spans="2:10" ht="15" customHeight="1">
      <c r="B53" s="41" t="s">
        <v>36</v>
      </c>
      <c r="C53" s="41">
        <f>SUM(C49:C52)</f>
        <v>36</v>
      </c>
    </row>
  </sheetData>
  <mergeCells count="4">
    <mergeCell ref="C5:D5"/>
    <mergeCell ref="C3:D3"/>
    <mergeCell ref="C4:D4"/>
    <mergeCell ref="C6:D6"/>
  </mergeCells>
  <dataValidations count="5">
    <dataValidation type="list" allowBlank="1" showInputMessage="1" showErrorMessage="1" sqref="D10:D45" xr:uid="{00000000-0002-0000-0000-000001000000}">
      <formula1>typeTestList</formula1>
    </dataValidation>
    <dataValidation type="list" allowBlank="1" showInputMessage="1" showErrorMessage="1" sqref="B10:B45" xr:uid="{00000000-0002-0000-0000-000000000000}">
      <formula1>pageList</formula1>
    </dataValidation>
    <dataValidation type="list" allowBlank="1" showInputMessage="1" showErrorMessage="1" sqref="E10:E45" xr:uid="{AB3C7D48-6248-BF44-BC67-9601FA3FEF51}">
      <formula1>statusList</formula1>
    </dataValidation>
    <dataValidation type="list" allowBlank="1" showInputMessage="1" showErrorMessage="1" sqref="M10:M45" xr:uid="{B8EBAFA2-42E0-C149-B2F2-1BAED273F9DD}">
      <formula1>priorityList</formula1>
    </dataValidation>
    <dataValidation type="list" allowBlank="1" showInputMessage="1" showErrorMessage="1" sqref="Q10:Q45 N10:O45" xr:uid="{797079AC-8B14-9B4A-BC48-F63FF901A58C}">
      <formula1>picList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76200</xdr:colOff>
                    <xdr:row>6</xdr:row>
                    <xdr:rowOff>0</xdr:rowOff>
                  </from>
                  <to>
                    <xdr:col>1</xdr:col>
                    <xdr:colOff>853440</xdr:colOff>
                    <xdr:row>6</xdr:row>
                    <xdr:rowOff>190500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929640</xdr:colOff>
                    <xdr:row>6</xdr:row>
                    <xdr:rowOff>0</xdr:rowOff>
                  </from>
                  <to>
                    <xdr:col>1</xdr:col>
                    <xdr:colOff>2156460</xdr:colOff>
                    <xdr:row>6</xdr:row>
                    <xdr:rowOff>190500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0" id="{D74F88F4-B181-1546-B3FC-BD6ADD742F1D}">
            <xm:f>$E10=Dashboard!$H$37</xm:f>
            <x14:dxf>
              <font>
                <color theme="2" tint="-0.89996032593768116"/>
              </font>
              <fill>
                <patternFill>
                  <fgColor auto="1"/>
                  <bgColor theme="3" tint="0.79998168889431442"/>
                </patternFill>
              </fill>
            </x14:dxf>
          </x14:cfRule>
          <x14:cfRule type="expression" priority="11" id="{264D5D4A-A35F-4946-813E-408A03274DAD}">
            <xm:f>$E10=Dashboard!$H$36</xm:f>
            <x14:dxf>
              <font>
                <color theme="2" tint="-0.89996032593768116"/>
              </font>
              <fill>
                <patternFill>
                  <fgColor auto="1"/>
                  <bgColor theme="0" tint="-4.9989318521683403E-2"/>
                </patternFill>
              </fill>
            </x14:dxf>
          </x14:cfRule>
          <x14:cfRule type="expression" priority="12" id="{9D6610C4-829E-40B1-9539-3F8D2270CBC0}">
            <xm:f>$E10=Dashboard!$H$35</xm:f>
            <x14:dxf>
              <font>
                <color theme="1"/>
              </font>
              <fill>
                <patternFill>
                  <bgColor theme="5" tint="0.79998168889431442"/>
                </patternFill>
              </fill>
            </x14:dxf>
          </x14:cfRule>
          <x14:cfRule type="expression" priority="13" id="{CE8CA732-719E-45E0-9A53-A6031CBE476B}">
            <xm:f>$E10=Dashboard!$H$34</xm:f>
            <x14:dxf>
              <font>
                <color theme="1"/>
              </font>
              <fill>
                <patternFill>
                  <bgColor theme="9" tint="0.79998168889431442"/>
                </patternFill>
              </fill>
            </x14:dxf>
          </x14:cfRule>
          <xm:sqref>G10:R18 G19:I19 K19:R19 A10:E45 G20:R45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13</v>
      </c>
    </row>
    <row r="2" spans="1:1" ht="265.2">
      <c r="A2" s="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ahmad sauki</cp:lastModifiedBy>
  <cp:revision/>
  <dcterms:created xsi:type="dcterms:W3CDTF">2021-09-10T01:15:16Z</dcterms:created>
  <dcterms:modified xsi:type="dcterms:W3CDTF">2022-05-06T08:37:41Z</dcterms:modified>
  <cp:category/>
  <cp:contentStatus/>
</cp:coreProperties>
</file>