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ki\xa-bootcamp-batch-283-qa-teknologi\007. Sauki\001. Template Test Case\"/>
    </mc:Choice>
  </mc:AlternateContent>
  <xr:revisionPtr revIDLastSave="0" documentId="13_ncr:1_{2E8F921A-43E9-46BA-A0C3-59068F72C8A2}" xr6:coauthVersionLast="45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shboard" sheetId="12" r:id="rId1"/>
    <sheet name="Test Case" sheetId="9" r:id="rId2"/>
    <sheet name="MACRO" sheetId="11" state="hidden" r:id="rId3"/>
  </sheets>
  <definedNames>
    <definedName name="_xlnm._FilterDatabase" localSheetId="1" hidden="1">'Test Case'!$A$9:$R$9</definedName>
    <definedName name="cityList">#REF!</definedName>
    <definedName name="list_test_case">'Test Case'!$A$10:$R$19</definedName>
    <definedName name="pageList">TablePage[PAGE]</definedName>
    <definedName name="picList">TablePic[PIC]</definedName>
    <definedName name="priorityList">TablePriority[[PRIORITY ]]</definedName>
    <definedName name="statusList">TableStatus[STATUS]</definedName>
    <definedName name="statusListPivot">Dashboard!#REF!</definedName>
    <definedName name="typeTestList">TableTestType[TYPE TEST]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" i="9" l="1"/>
  <c r="C35" i="12" l="1"/>
  <c r="O37" i="12" l="1"/>
  <c r="O38" i="12"/>
  <c r="O39" i="12"/>
  <c r="O40" i="12"/>
  <c r="C34" i="12" l="1"/>
  <c r="O34" i="12"/>
  <c r="O35" i="12"/>
  <c r="O36" i="12"/>
  <c r="L34" i="12"/>
  <c r="L35" i="12"/>
  <c r="L36" i="12"/>
  <c r="L37" i="12"/>
  <c r="I35" i="12"/>
  <c r="I36" i="12"/>
  <c r="I37" i="12"/>
  <c r="I34" i="12"/>
  <c r="F34" i="12"/>
  <c r="F35" i="12"/>
  <c r="B22" i="9" l="1" a="1"/>
  <c r="B22" i="9" s="1"/>
  <c r="B25" i="9" l="1"/>
  <c r="C25" i="9"/>
  <c r="C22" i="9"/>
  <c r="B23" i="9"/>
  <c r="C23" i="9"/>
  <c r="B24" i="9"/>
  <c r="C24" i="9"/>
  <c r="C2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Ade Aditya</author>
  </authors>
  <commentList>
    <comment ref="N9" authorId="0" shapeId="0" xr:uid="{8082CA05-A8C7-074A-A9D5-3ABC8879D8E9}">
      <text>
        <r>
          <rPr>
            <b/>
            <sz val="10"/>
            <color rgb="FF000000"/>
            <rFont val="Tahoma"/>
            <family val="2"/>
          </rPr>
          <t>Ade Aditya: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PIC adalah programmer yang di assign terhadap fungsi tersebut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<sst xmlns="http://schemas.openxmlformats.org/spreadsheetml/2006/main" count="135" uniqueCount="78">
  <si>
    <t>NO.</t>
  </si>
  <si>
    <t>FUNGTION</t>
  </si>
  <si>
    <t>TEST STEPS</t>
  </si>
  <si>
    <t>EXPECTED RESULT</t>
  </si>
  <si>
    <t>ACTUAL RESULT</t>
  </si>
  <si>
    <t>TEST TYPE</t>
  </si>
  <si>
    <t>STATUS</t>
  </si>
  <si>
    <t>NOTES</t>
  </si>
  <si>
    <t>Positive</t>
  </si>
  <si>
    <t>Adit</t>
  </si>
  <si>
    <t>Status</t>
  </si>
  <si>
    <t>PIC</t>
  </si>
  <si>
    <t>Negative</t>
  </si>
  <si>
    <t>botton Add Test Case</t>
  </si>
  <si>
    <t>Sub ButtonAddTestCase_Click()
Dim ws As Worksheet
Set ws = ActiveSheet
Dim tbl As ListObject
Set tbl = ws.ListObjects("Table_test_case")
Dim newrow As ListRow
Set newrow = tbl.ListRows.Add
With newrow
    .Range(1) = tbl.ListRows.Count
    .Range(5) = "Not Exec."
    .Range(14) = Date
End With
End Sub</t>
  </si>
  <si>
    <t>DESCRIPTION</t>
  </si>
  <si>
    <t>PREREQUISITES</t>
  </si>
  <si>
    <t>CREATED
BY</t>
  </si>
  <si>
    <t>CREATED
ON</t>
  </si>
  <si>
    <t>EXECUTED
BY</t>
  </si>
  <si>
    <t>EXECUTED
ON</t>
  </si>
  <si>
    <t>Not Ready</t>
  </si>
  <si>
    <t>TEST
CASE
ID</t>
  </si>
  <si>
    <t>Total</t>
  </si>
  <si>
    <t>Passed</t>
  </si>
  <si>
    <t>Failed</t>
  </si>
  <si>
    <t>Not Executed</t>
  </si>
  <si>
    <t>PRIORITY</t>
  </si>
  <si>
    <t xml:space="preserve">PRIORITY </t>
  </si>
  <si>
    <t>Urgent</t>
  </si>
  <si>
    <t>High</t>
  </si>
  <si>
    <t>Medium</t>
  </si>
  <si>
    <t>Low</t>
  </si>
  <si>
    <t>TYPE TEST</t>
  </si>
  <si>
    <t>PAGE</t>
  </si>
  <si>
    <t>TOTAL</t>
  </si>
  <si>
    <t xml:space="preserve"> </t>
  </si>
  <si>
    <t>Ardhi</t>
  </si>
  <si>
    <t>Antok</t>
  </si>
  <si>
    <t>Priscilia</t>
  </si>
  <si>
    <t>Lathifah</t>
  </si>
  <si>
    <t>Rizka</t>
  </si>
  <si>
    <t>Sauki</t>
  </si>
  <si>
    <t>1.1. Registrasi</t>
  </si>
  <si>
    <t>1.2. Login</t>
  </si>
  <si>
    <t>Masuk ke halaman login</t>
  </si>
  <si>
    <t>TC110001</t>
  </si>
  <si>
    <t>TC110002</t>
  </si>
  <si>
    <t>Akses halaman Registrasi</t>
  </si>
  <si>
    <t>Registrasi dimana semua kolom diisi</t>
  </si>
  <si>
    <t>1. Data user registrasi
    a. Nama : Ahmad Sauqi
    b. Email : ahmadsauki@gmail.com
    c. Handphone : 012345678
    d. Tanggal Lahir : 12-06-1999
    e. Hobi : Sepak Bola</t>
  </si>
  <si>
    <t>Berhasil Registrasi user baru</t>
  </si>
  <si>
    <t>TC110003</t>
  </si>
  <si>
    <t>Registrasi dimana hanya kolom mandatory yang diisi</t>
  </si>
  <si>
    <t>1. Data user registrasi
    a. Nama : Ahmad Sauqi
    b. Handphone : 0112345678
    c. Tanggal Lahir : 12-06-1999</t>
  </si>
  <si>
    <t>Dikirimkan sebuah OTP ke nomor handphone yang terdaftar</t>
  </si>
  <si>
    <t>Dikirimkan sebuah OTP 
ke nomor handphone yang terdaftar</t>
  </si>
  <si>
    <t>TC110004</t>
  </si>
  <si>
    <t>Registrasi dimana hanya kolom mandatory yang diisi dan untuk kolom nama diisi &lt; 3 karakter</t>
  </si>
  <si>
    <t>TC110005</t>
  </si>
  <si>
    <t>Registrasi dimana hanya kolom mandatory yang diisi dan untuk kolom nama diisi dengan spesial karakter selain ". ,  -"</t>
  </si>
  <si>
    <t>Gagal Registrasi user baru</t>
  </si>
  <si>
    <t>TC110006</t>
  </si>
  <si>
    <t>Registrasi dimana hanya kolom mandatory yang diisi dan untuk kolom handphone diisi &lt; dari 8 angka</t>
  </si>
  <si>
    <t>1. Data user registrasi
    a. Nama : Ahm
    b. Handphone : 01112345678
    c. Tanggal Lahir : 12-06-1999</t>
  </si>
  <si>
    <t>1. Data user registrasi
    a. Nama : Ahmad sauqi!@#$
    b. Handphone : 01112345678
    c. Tanggal Lahir : 12-06-1999</t>
  </si>
  <si>
    <t>1. Data user registrasi
    a. Nama : Ahmad sauqi
    b. Handphone : 0123456
    c. Tanggal Lahir : 12-06-1999</t>
  </si>
  <si>
    <t>TC110007</t>
  </si>
  <si>
    <t>Registrasi dimana semua kolom diisi dan untuk kolom email diisi dengan yang sudah terdaftar</t>
  </si>
  <si>
    <t>1. Data user registrasi
    a. Nama : Ahmad Sauqi
    b. Email : ahmadsauki@gmail.com
    c. Handphone : 0123456666
    d. Tanggal Lahir : 12-06-1999
    e. Hobi : Sepak Bola</t>
  </si>
  <si>
    <t>1. Data user login
    a. Handphone : 0112345678</t>
  </si>
  <si>
    <t>Berhasil login menggunakan nomer handphone</t>
  </si>
  <si>
    <t>TC120008</t>
  </si>
  <si>
    <t>TC120009</t>
  </si>
  <si>
    <t>Login menggunakan nomer handphone yang terdaftar</t>
  </si>
  <si>
    <t>Login menggunakan email yang terdaftar</t>
  </si>
  <si>
    <t>1. Data user login
    a. email : ahmadsauki@gmail.com</t>
  </si>
  <si>
    <t xml:space="preserve">Berhasil login menggunakan email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</si>
</sst>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;@"/>
    <numFmt numFmtId="166" formatCode="dd\-mmm\-yyyy\ hh\:mm"/>
  </numFmts>
  <fonts count="19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3"/>
      <color theme="3"/>
      <name val="ArialMT"/>
      <family val="2"/>
    </font>
    <font>
      <b/>
      <sz val="11"/>
      <color theme="3"/>
      <name val="ArialMT"/>
      <family val="2"/>
    </font>
    <font>
      <sz val="12"/>
      <color theme="1"/>
      <name val="Arial"/>
      <family val="2"/>
    </font>
    <font>
      <sz val="10"/>
      <color theme="2" tint="-0.89999084444715716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color theme="1"/>
      <name val="Calibri"/>
      <family val="2"/>
      <scheme val="minor"/>
    </font>
    <font>
      <sz val="10"/>
      <color rgb="FF003300"/>
      <name val="Arial"/>
      <family val="2"/>
    </font>
    <font>
      <b/>
      <sz val="12"/>
      <color theme="0"/>
      <name val="Arial"/>
      <family val="2"/>
    </font>
    <font>
      <sz val="12"/>
      <color theme="8" tint="0.79998168889431442"/>
      <name val="Arial"/>
      <family val="2"/>
    </font>
    <font>
      <b/>
      <sz val="10"/>
      <color theme="0"/>
      <name val="ArialMT"/>
      <family val="2"/>
    </font>
    <font>
      <sz val="10"/>
      <color rgb="FF375623"/>
      <name val="ArialMT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rgb="FFC0C0C0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472C4"/>
        <bgColor rgb="FFC0C0C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6" applyNumberFormat="0" applyFill="0" applyAlignment="0" applyProtection="0"/>
    <xf numFmtId="0" fontId="5" fillId="0" borderId="7" applyNumberFormat="0" applyFill="0" applyAlignment="0" applyProtection="0"/>
  </cellStyleXfs>
  <cellXfs count="5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6" fillId="0" borderId="0" xfId="0" applyFont="1"/>
    <xf numFmtId="0" fontId="6" fillId="0" borderId="0" xfId="0" applyNumberFormat="1" applyFont="1"/>
    <xf numFmtId="0" fontId="7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 wrapText="1"/>
    </xf>
    <xf numFmtId="164" fontId="7" fillId="0" borderId="1" xfId="0" applyNumberFormat="1" applyFont="1" applyBorder="1" applyAlignment="1">
      <alignment horizontal="left" vertical="top"/>
    </xf>
    <xf numFmtId="0" fontId="7" fillId="2" borderId="1" xfId="0" applyFont="1" applyFill="1" applyBorder="1" applyAlignment="1">
      <alignment horizontal="left" vertical="top"/>
    </xf>
    <xf numFmtId="0" fontId="8" fillId="0" borderId="0" xfId="0" applyFont="1"/>
    <xf numFmtId="0" fontId="9" fillId="0" borderId="0" xfId="0" applyFont="1" applyAlignment="1">
      <alignment vertical="top"/>
    </xf>
    <xf numFmtId="0" fontId="11" fillId="0" borderId="0" xfId="0" applyFont="1" applyBorder="1" applyAlignment="1">
      <alignment horizontal="center" vertical="top" wrapText="1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vertical="top" wrapText="1"/>
    </xf>
    <xf numFmtId="0" fontId="12" fillId="0" borderId="0" xfId="1" applyFont="1" applyAlignment="1"/>
    <xf numFmtId="165" fontId="8" fillId="0" borderId="0" xfId="0" applyNumberFormat="1" applyFont="1" applyAlignment="1">
      <alignment horizontal="left" vertical="center"/>
    </xf>
    <xf numFmtId="0" fontId="9" fillId="0" borderId="0" xfId="0" applyFont="1" applyBorder="1" applyAlignment="1">
      <alignment horizontal="center" vertical="top" wrapText="1"/>
    </xf>
    <xf numFmtId="14" fontId="9" fillId="0" borderId="0" xfId="0" applyNumberFormat="1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14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11" fillId="0" borderId="0" xfId="0" applyFont="1"/>
    <xf numFmtId="0" fontId="13" fillId="0" borderId="0" xfId="0" applyFont="1"/>
    <xf numFmtId="166" fontId="7" fillId="0" borderId="1" xfId="0" applyNumberFormat="1" applyFont="1" applyBorder="1" applyAlignment="1">
      <alignment horizontal="left" vertical="top"/>
    </xf>
    <xf numFmtId="0" fontId="15" fillId="0" borderId="6" xfId="2" applyFont="1" applyAlignment="1">
      <alignment horizontal="center" vertical="center"/>
    </xf>
    <xf numFmtId="0" fontId="15" fillId="0" borderId="6" xfId="2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6" xfId="2" applyFont="1" applyFill="1" applyBorder="1" applyAlignment="1">
      <alignment horizontal="center" vertical="center"/>
    </xf>
    <xf numFmtId="0" fontId="16" fillId="5" borderId="0" xfId="0" applyFont="1" applyFill="1"/>
    <xf numFmtId="0" fontId="16" fillId="0" borderId="0" xfId="0" applyFont="1" applyFill="1"/>
    <xf numFmtId="0" fontId="6" fillId="0" borderId="0" xfId="0" applyFont="1" applyFill="1"/>
    <xf numFmtId="0" fontId="7" fillId="0" borderId="5" xfId="0" applyFont="1" applyBorder="1" applyAlignment="1">
      <alignment horizontal="center" vertical="top"/>
    </xf>
    <xf numFmtId="166" fontId="7" fillId="0" borderId="4" xfId="0" applyNumberFormat="1" applyFont="1" applyBorder="1" applyAlignment="1">
      <alignment horizontal="left" vertical="top"/>
    </xf>
    <xf numFmtId="0" fontId="17" fillId="6" borderId="2" xfId="3" applyFont="1" applyFill="1" applyBorder="1" applyAlignment="1">
      <alignment horizontal="center" vertical="center" wrapText="1"/>
    </xf>
    <xf numFmtId="0" fontId="17" fillId="6" borderId="3" xfId="3" applyFont="1" applyFill="1" applyBorder="1" applyAlignment="1">
      <alignment horizontal="center" vertical="center" wrapText="1"/>
    </xf>
    <xf numFmtId="0" fontId="9" fillId="0" borderId="0" xfId="0" applyFont="1" applyFill="1"/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left" vertical="center"/>
    </xf>
    <xf numFmtId="0" fontId="17" fillId="3" borderId="3" xfId="3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/>
    </xf>
    <xf numFmtId="0" fontId="6" fillId="0" borderId="8" xfId="0" applyFont="1" applyBorder="1"/>
    <xf numFmtId="0" fontId="8" fillId="0" borderId="8" xfId="0" applyFont="1" applyBorder="1"/>
    <xf numFmtId="0" fontId="9" fillId="0" borderId="0" xfId="0" applyFont="1" applyFill="1" applyAlignment="1">
      <alignment horizontal="left" vertical="center"/>
    </xf>
    <xf numFmtId="164" fontId="7" fillId="0" borderId="1" xfId="0" applyNumberFormat="1" applyFont="1" applyBorder="1" applyAlignment="1">
      <alignment horizontal="left" vertical="top" wrapText="1"/>
    </xf>
    <xf numFmtId="0" fontId="7" fillId="0" borderId="10" xfId="0" applyFont="1" applyBorder="1" applyAlignment="1">
      <alignment horizontal="center" vertical="top"/>
    </xf>
    <xf numFmtId="0" fontId="7" fillId="0" borderId="11" xfId="0" applyFont="1" applyBorder="1" applyAlignment="1">
      <alignment horizontal="left" vertical="top"/>
    </xf>
    <xf numFmtId="0" fontId="7" fillId="0" borderId="11" xfId="0" applyFont="1" applyBorder="1"/>
    <xf numFmtId="0" fontId="7" fillId="2" borderId="11" xfId="0" applyFont="1" applyFill="1" applyBorder="1"/>
    <xf numFmtId="0" fontId="7" fillId="0" borderId="11" xfId="0" applyFont="1" applyBorder="1" applyAlignment="1">
      <alignment horizontal="left" vertical="top" wrapText="1"/>
    </xf>
    <xf numFmtId="164" fontId="7" fillId="0" borderId="11" xfId="0" applyNumberFormat="1" applyFont="1" applyBorder="1" applyAlignment="1">
      <alignment horizontal="left" vertical="top"/>
    </xf>
    <xf numFmtId="166" fontId="7" fillId="0" borderId="11" xfId="0" applyNumberFormat="1" applyFont="1" applyBorder="1" applyAlignment="1">
      <alignment horizontal="left" vertical="top"/>
    </xf>
    <xf numFmtId="166" fontId="7" fillId="0" borderId="9" xfId="0" applyNumberFormat="1" applyFont="1" applyBorder="1" applyAlignment="1">
      <alignment horizontal="left" vertical="top"/>
    </xf>
  </cellXfs>
  <cellStyles count="4">
    <cellStyle name="Heading 2" xfId="2" builtinId="17"/>
    <cellStyle name="Heading 3" xfId="3" builtinId="18"/>
    <cellStyle name="Hyperlink" xfId="1" builtinId="8"/>
    <cellStyle name="Normal" xfId="0" builtinId="0"/>
  </cellStyles>
  <dxfs count="52"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2" tint="-0.89996032593768116"/>
      </font>
      <fill>
        <patternFill>
          <fgColor auto="1"/>
          <bgColor theme="0" tint="-4.9989318521683403E-2"/>
        </patternFill>
      </fill>
    </dxf>
    <dxf>
      <font>
        <color theme="2" tint="-0.89996032593768116"/>
      </font>
      <fill>
        <patternFill>
          <fgColor auto="1"/>
          <bgColor theme="3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2" tint="-0.89996032593768116"/>
      </font>
      <fill>
        <patternFill>
          <fgColor auto="1"/>
          <bgColor theme="0" tint="-4.9989318521683403E-2"/>
        </patternFill>
      </fill>
    </dxf>
    <dxf>
      <font>
        <color theme="2" tint="-0.89996032593768116"/>
      </font>
      <fill>
        <patternFill>
          <fgColor auto="1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6" formatCode="dd\-mmm\-yyyy\ hh\:mm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6" formatCode="dd\-mmm\-yyyy\ hh\:mm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numFmt numFmtId="164" formatCode="yyyy\-mm\-dd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Arial"/>
        <family val="2"/>
        <scheme val="none"/>
      </font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ArialMT"/>
        <family val="2"/>
        <scheme val="none"/>
      </font>
      <fill>
        <patternFill patternType="solid">
          <fgColor rgb="FFC0C0C0"/>
          <bgColor theme="8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border outline="0">
        <bottom style="thick">
          <color theme="4" tint="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5A9CD7"/>
      <color rgb="FF4472C4"/>
      <color rgb="FF78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TIPE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Dashboard!$F$33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DCC8-6849-80DE-A1B7789B59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635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  <a:sp3d contourW="6350">
                <a:contourClr>
                  <a:schemeClr val="accent2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DCC8-6849-80DE-A1B7789B5950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C8-6849-80DE-A1B7789B5950}"/>
                </c:ext>
              </c:extLst>
            </c:dLbl>
            <c:dLbl>
              <c:idx val="1"/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8-6849-80DE-A1B7789B59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Dashboard!$E$34:$E$35</c:f>
              <c:strCache>
                <c:ptCount val="2"/>
                <c:pt idx="0">
                  <c:v>Positive</c:v>
                </c:pt>
                <c:pt idx="1">
                  <c:v>Negative</c:v>
                </c:pt>
              </c:strCache>
            </c:strRef>
          </c:cat>
          <c:val>
            <c:numRef>
              <c:f>Dashboard!$F$34:$F$35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9-BE4A-A260-6D5123F979C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STATUS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Dashboard!$I$33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7C8-A14F-855C-C412C029BCD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C8-A14F-855C-C412C029BC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7C8-A14F-855C-C412C029BC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7C8-A14F-855C-C412C029BC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Dashboard!$H$34:$H$37</c:f>
              <c:strCache>
                <c:ptCount val="4"/>
                <c:pt idx="0">
                  <c:v>Passed</c:v>
                </c:pt>
                <c:pt idx="1">
                  <c:v>Failed</c:v>
                </c:pt>
                <c:pt idx="2">
                  <c:v>Not Executed</c:v>
                </c:pt>
                <c:pt idx="3">
                  <c:v>Not Ready</c:v>
                </c:pt>
              </c:strCache>
            </c:strRef>
          </c:cat>
          <c:val>
            <c:numRef>
              <c:f>Dashboard!$I$34:$I$37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3-2744-B6DC-69967B61BB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45856896"/>
        <c:axId val="1945858544"/>
      </c:barChart>
      <c:catAx>
        <c:axId val="1945856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58544"/>
        <c:crosses val="autoZero"/>
        <c:auto val="1"/>
        <c:lblAlgn val="ctr"/>
        <c:lblOffset val="100"/>
        <c:noMultiLvlLbl val="0"/>
      </c:catAx>
      <c:valAx>
        <c:axId val="194585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8568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HALAMAN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Dashboard!$B$34:$B$35</c:f>
              <c:strCache>
                <c:ptCount val="2"/>
                <c:pt idx="0">
                  <c:v>1.1. Registrasi</c:v>
                </c:pt>
                <c:pt idx="1">
                  <c:v>1.2. Login</c:v>
                </c:pt>
              </c:strCache>
            </c:strRef>
          </c:cat>
          <c:val>
            <c:numRef>
              <c:f>Dashboard!$C$34:$C$35</c:f>
              <c:numCache>
                <c:formatCode>General</c:formatCode>
                <c:ptCount val="2"/>
                <c:pt idx="0">
                  <c:v>7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F-8B40-86A7-70943F4A7A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41576928"/>
        <c:axId val="1958194400"/>
      </c:barChart>
      <c:catAx>
        <c:axId val="1941576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194400"/>
        <c:crosses val="autoZero"/>
        <c:auto val="1"/>
        <c:lblAlgn val="ctr"/>
        <c:lblOffset val="100"/>
        <c:noMultiLvlLbl val="0"/>
      </c:catAx>
      <c:valAx>
        <c:axId val="195819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157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BERDASARKAN PRIORITAS PENGUJIAN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Dashboard!$L$33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Dashboard!$K$34:$K$37</c:f>
              <c:strCache>
                <c:ptCount val="4"/>
                <c:pt idx="0">
                  <c:v>Urgent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Dashboard!$L$34:$L$37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DE-4D43-B762-34DFCE63C1C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2007084304"/>
        <c:axId val="2007085952"/>
      </c:barChart>
      <c:catAx>
        <c:axId val="2007084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85952"/>
        <c:crosses val="autoZero"/>
        <c:auto val="1"/>
        <c:lblAlgn val="ctr"/>
        <c:lblOffset val="100"/>
        <c:noMultiLvlLbl val="0"/>
      </c:catAx>
      <c:valAx>
        <c:axId val="200708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84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reqres.in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0</xdr:row>
      <xdr:rowOff>59690</xdr:rowOff>
    </xdr:from>
    <xdr:to>
      <xdr:col>10</xdr:col>
      <xdr:colOff>330200</xdr:colOff>
      <xdr:row>31</xdr:row>
      <xdr:rowOff>13970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393699</xdr:colOff>
      <xdr:row>16</xdr:row>
      <xdr:rowOff>34159</xdr:rowOff>
    </xdr:from>
    <xdr:to>
      <xdr:col>15</xdr:col>
      <xdr:colOff>30479</xdr:colOff>
      <xdr:row>31</xdr:row>
      <xdr:rowOff>3679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50800</xdr:colOff>
      <xdr:row>0</xdr:row>
      <xdr:rowOff>57150</xdr:rowOff>
    </xdr:from>
    <xdr:to>
      <xdr:col>6</xdr:col>
      <xdr:colOff>330200</xdr:colOff>
      <xdr:row>31</xdr:row>
      <xdr:rowOff>11430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392914</xdr:colOff>
      <xdr:row>0</xdr:row>
      <xdr:rowOff>64998</xdr:rowOff>
    </xdr:from>
    <xdr:to>
      <xdr:col>15</xdr:col>
      <xdr:colOff>29694</xdr:colOff>
      <xdr:row>15</xdr:row>
      <xdr:rowOff>161518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190619</xdr:colOff>
      <xdr:row>0</xdr:row>
      <xdr:rowOff>63500</xdr:rowOff>
    </xdr:from>
    <xdr:to>
      <xdr:col>4</xdr:col>
      <xdr:colOff>317500</xdr:colOff>
      <xdr:row>4</xdr:row>
      <xdr:rowOff>127000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619" y="63500"/>
          <a:ext cx="4152781" cy="8255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0" rIns="72000" bIns="36000" rtlCol="0" anchor="t"/>
        <a:lstStyle/>
        <a:p>
          <a:pPr algn="l"/>
          <a:endParaRPr lang="en-US" sz="1000" b="1">
            <a:solidFill>
              <a:schemeClr val="bg2">
                <a:lumMod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 defTabSz="640080"/>
          <a:r>
            <a:rPr lang="en-US" sz="1100" b="1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Project Name	:</a:t>
          </a:r>
          <a:r>
            <a:rPr lang="en-US" sz="1100" b="1" baseline="0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baseline="0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Web E-commerce PT. XYZ</a:t>
          </a:r>
        </a:p>
        <a:p>
          <a:pPr algn="l" defTabSz="640080"/>
          <a:r>
            <a:rPr lang="en-US" sz="1100" b="1" baseline="0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Base URL	: </a:t>
          </a:r>
        </a:p>
        <a:p>
          <a:pPr algn="l" defTabSz="640080"/>
          <a:r>
            <a:rPr lang="en-US" sz="1100" b="1" baseline="0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Test start date	: 10 May 2022</a:t>
          </a:r>
        </a:p>
        <a:p>
          <a:pPr algn="l" defTabSz="640080"/>
          <a:r>
            <a:rPr lang="en-US" sz="1100" b="1" baseline="0">
              <a:solidFill>
                <a:schemeClr val="bg2">
                  <a:lumMod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Test end date	: 10 May 2022</a:t>
          </a:r>
          <a:endParaRPr lang="en-US" sz="1100" b="1">
            <a:solidFill>
              <a:schemeClr val="bg2">
                <a:lumMod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6</xdr:row>
          <xdr:rowOff>0</xdr:rowOff>
        </xdr:from>
        <xdr:to>
          <xdr:col>1</xdr:col>
          <xdr:colOff>853440</xdr:colOff>
          <xdr:row>6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Add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929640</xdr:colOff>
          <xdr:row>6</xdr:row>
          <xdr:rowOff>0</xdr:rowOff>
        </xdr:from>
        <xdr:to>
          <xdr:col>1</xdr:col>
          <xdr:colOff>2156460</xdr:colOff>
          <xdr:row>6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75623"/>
                  </a:solidFill>
                  <a:latin typeface="ArialMT"/>
                </a:rPr>
                <a:t>Delete Last 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B49D68-9E8A-D34A-B9C6-E6ABF7ECF4E2}" name="TableStatus" displayName="TableStatus" ref="H33:I37" totalsRowShown="0" headerRowDxfId="51" dataDxfId="50" headerRowCellStyle="Heading 2">
  <autoFilter ref="H33:I37" xr:uid="{39B49D68-9E8A-D34A-B9C6-E6ABF7ECF4E2}"/>
  <tableColumns count="2">
    <tableColumn id="1" xr3:uid="{567DBF3E-6AAB-F44B-A620-2B81C9A6B114}" name="STATUS" dataDxfId="49"/>
    <tableColumn id="2" xr3:uid="{00650F91-5404-F04C-9013-56844C846874}" name="TOTAL" dataDxfId="48">
      <calculatedColumnFormula>COUNTIF(Table_test_case[STATUS],TableStatus[[#This Row],[STATUS]])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F708E7-6029-1341-8251-DF3DDDFF7B00}" name="TablePic" displayName="TablePic" ref="N33:O40" totalsRowShown="0" headerRowDxfId="47" dataDxfId="45" headerRowBorderDxfId="46" headerRowCellStyle="Heading 2">
  <autoFilter ref="N33:O40" xr:uid="{E7F708E7-6029-1341-8251-DF3DDDFF7B00}"/>
  <tableColumns count="2">
    <tableColumn id="1" xr3:uid="{440FA0DB-848F-9F48-9EDE-A92BB70EB242}" name="PIC" dataDxfId="44"/>
    <tableColumn id="2" xr3:uid="{BCFB4232-A96D-B74B-ADE9-74DE4F804D8D}" name="TOTAL" dataDxfId="43">
      <calculatedColumnFormula>COUNTIF(Table_test_case[PIC],TablePic[[#This Row],[PIC]])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78BE29-BD42-E94C-B75E-07BC3539C64B}" name="TablePriority" displayName="TablePriority" ref="K33:L37" totalsRowShown="0" headerRowDxfId="42" dataDxfId="41" headerRowCellStyle="Heading 2">
  <autoFilter ref="K33:L37" xr:uid="{7A78BE29-BD42-E94C-B75E-07BC3539C64B}"/>
  <tableColumns count="2">
    <tableColumn id="1" xr3:uid="{3FBAF980-B046-1744-A68E-80FA60193677}" name="PRIORITY " dataDxfId="40"/>
    <tableColumn id="2" xr3:uid="{20CF8267-20CB-2447-B0EE-04CA0FFEC084}" name="TOTAL" dataDxfId="39">
      <calculatedColumnFormula>COUNTIF(Table_test_case[PRIORITY],TablePriority[[#This Row],[PRIORITY ]])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B34AFC-8443-7646-A5FF-38B643D476A1}" name="TableTestType" displayName="TableTestType" ref="E33:F35" totalsRowShown="0" headerRowDxfId="38" dataDxfId="37" headerRowCellStyle="Heading 2">
  <autoFilter ref="E33:F35" xr:uid="{12B34AFC-8443-7646-A5FF-38B643D476A1}"/>
  <tableColumns count="2">
    <tableColumn id="1" xr3:uid="{E4B2D535-AD93-2241-822E-9CF430ABB581}" name="TYPE TEST" dataDxfId="36"/>
    <tableColumn id="2" xr3:uid="{B2FCB4DD-51A8-1548-8514-2F1B2803A7E8}" name="TOTAL" dataDxfId="35">
      <calculatedColumnFormula>COUNTIF(Table_test_case[TEST TYPE],TableTestType[[#This Row],[TYPE TEST]])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7EEE0D-7F76-2040-BCB4-250854C8F0F0}" name="TablePage" displayName="TablePage" ref="B33:C35" totalsRowShown="0" headerRowDxfId="34" dataDxfId="33" headerRowCellStyle="Heading 2">
  <autoFilter ref="B33:C35" xr:uid="{6C7EEE0D-7F76-2040-BCB4-250854C8F0F0}"/>
  <tableColumns count="2">
    <tableColumn id="2" xr3:uid="{715B60B1-67E3-3D45-A8B0-02B0A787B3D7}" name="PAGE" dataDxfId="32"/>
    <tableColumn id="3" xr3:uid="{A956E912-A71F-0145-AD97-1B193CC99877}" name="TOTAL" dataDxfId="31">
      <calculatedColumnFormula>COUNTIF(Table_test_case[FUNGTION],TablePage[[#This Row],[PAGE]])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test_case" displayName="Table_test_case" ref="A9:R19" totalsRowShown="0" headerRowDxfId="30" dataDxfId="28" headerRowBorderDxfId="29" tableBorderDxfId="27" totalsRowBorderDxfId="26" headerRowCellStyle="Heading 3">
  <autoFilter ref="A9:R19" xr:uid="{00000000-000C-0000-FFFF-FFFF00000000}"/>
  <tableColumns count="18">
    <tableColumn id="1" xr3:uid="{00000000-0010-0000-0000-000001000000}" name="NO." dataDxfId="25">
      <calculatedColumnFormula>A9+1</calculatedColumnFormula>
    </tableColumn>
    <tableColumn id="2" xr3:uid="{00000000-0010-0000-0000-000002000000}" name="FUNGTION" dataDxfId="24"/>
    <tableColumn id="3" xr3:uid="{00000000-0010-0000-0000-000003000000}" name="TEST_x000a_CASE_x000a_ID" dataDxfId="23"/>
    <tableColumn id="17" xr3:uid="{00000000-0010-0000-0000-000011000000}" name="TEST TYPE" dataDxfId="22"/>
    <tableColumn id="22" xr3:uid="{00000000-0010-0000-0000-000016000000}" name="STATUS" dataDxfId="21"/>
    <tableColumn id="6" xr3:uid="{00000000-0010-0000-0000-000006000000}" name=" " dataDxfId="20"/>
    <tableColumn id="19" xr3:uid="{00000000-0010-0000-0000-000013000000}" name="DESCRIPTION" dataDxfId="19"/>
    <tableColumn id="18" xr3:uid="{00000000-0010-0000-0000-000012000000}" name="PREREQUISITES" dataDxfId="18"/>
    <tableColumn id="7" xr3:uid="{00000000-0010-0000-0000-000007000000}" name="TEST STEPS" dataDxfId="17"/>
    <tableColumn id="8" xr3:uid="{00000000-0010-0000-0000-000008000000}" name="EXPECTED RESULT" dataDxfId="16"/>
    <tableColumn id="9" xr3:uid="{00000000-0010-0000-0000-000009000000}" name="ACTUAL RESULT" dataDxfId="15"/>
    <tableColumn id="16" xr3:uid="{00000000-0010-0000-0000-000010000000}" name="NOTES" dataDxfId="14"/>
    <tableColumn id="5" xr3:uid="{AF37849C-47CF-1D42-9803-BA046E03AA35}" name="PRIORITY" dataDxfId="13"/>
    <tableColumn id="4" xr3:uid="{7D50DCE3-CDE0-D540-AD1E-7BD0F9C19C2B}" name="PIC" dataDxfId="12"/>
    <tableColumn id="12" xr3:uid="{00000000-0010-0000-0000-00000C000000}" name="CREATED_x000a_BY" dataDxfId="11"/>
    <tableColumn id="13" xr3:uid="{00000000-0010-0000-0000-00000D000000}" name="CREATED_x000a_ON" dataDxfId="10"/>
    <tableColumn id="14" xr3:uid="{00000000-0010-0000-0000-00000E000000}" name="EXECUTED_x000a_BY" dataDxfId="9"/>
    <tableColumn id="15" xr3:uid="{00000000-0010-0000-0000-00000F000000}" name="EXECUTED_x000a_O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D4AE-FCC9-6742-877C-3E48E2465F27}">
  <sheetPr codeName="Sheet4">
    <tabColor theme="8" tint="-0.249977111117893"/>
  </sheetPr>
  <dimension ref="A1:P41"/>
  <sheetViews>
    <sheetView showGridLines="0" topLeftCell="A13" zoomScale="80" zoomScaleNormal="80" workbookViewId="0">
      <selection activeCell="C35" sqref="C35"/>
    </sheetView>
  </sheetViews>
  <sheetFormatPr defaultColWidth="10.796875" defaultRowHeight="15"/>
  <cols>
    <col min="1" max="1" width="1.19921875" style="3" customWidth="1"/>
    <col min="2" max="2" width="35.796875" style="3" customWidth="1"/>
    <col min="3" max="3" width="12.796875" style="3" customWidth="1"/>
    <col min="4" max="4" width="5.19921875" style="3" customWidth="1"/>
    <col min="5" max="5" width="21.19921875" style="3" customWidth="1"/>
    <col min="6" max="6" width="12.796875" style="3" customWidth="1"/>
    <col min="7" max="7" width="5.19921875" style="3" customWidth="1"/>
    <col min="8" max="8" width="21.19921875" style="3" customWidth="1"/>
    <col min="9" max="9" width="12.796875" style="3" customWidth="1"/>
    <col min="10" max="10" width="5.19921875" style="3" customWidth="1"/>
    <col min="11" max="11" width="21.19921875" style="3" customWidth="1"/>
    <col min="12" max="12" width="12.796875" style="3" customWidth="1"/>
    <col min="13" max="13" width="5.19921875" style="3" customWidth="1"/>
    <col min="14" max="14" width="21.19921875" style="3" customWidth="1"/>
    <col min="15" max="15" width="12.796875" style="3" customWidth="1"/>
    <col min="16" max="16" width="9" style="3" bestFit="1" customWidth="1"/>
    <col min="17" max="17" width="17.19921875" style="3" bestFit="1" customWidth="1"/>
    <col min="18" max="18" width="16.5" style="3" bestFit="1" customWidth="1"/>
    <col min="19" max="19" width="22" style="3" bestFit="1" customWidth="1"/>
    <col min="20" max="16384" width="10.796875" style="3"/>
  </cols>
  <sheetData>
    <row r="1" spans="1:16" ht="6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9"/>
    </row>
    <row r="2" spans="1:16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9"/>
    </row>
    <row r="3" spans="1:16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9"/>
    </row>
    <row r="4" spans="1:16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9"/>
    </row>
    <row r="5" spans="1:16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9"/>
    </row>
    <row r="6" spans="1:16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</row>
    <row r="7" spans="1:16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9"/>
    </row>
    <row r="8" spans="1:16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9"/>
    </row>
    <row r="9" spans="1:16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9"/>
    </row>
    <row r="10" spans="1:16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9"/>
    </row>
    <row r="11" spans="1:16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9"/>
    </row>
    <row r="12" spans="1:16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</row>
    <row r="13" spans="1:16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</row>
    <row r="14" spans="1:16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9"/>
    </row>
    <row r="15" spans="1:16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9"/>
    </row>
    <row r="16" spans="1:16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</row>
    <row r="17" spans="1:16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9"/>
    </row>
    <row r="18" spans="1:16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9"/>
    </row>
    <row r="19" spans="1:16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9"/>
    </row>
    <row r="20" spans="1:16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9"/>
    </row>
    <row r="21" spans="1:16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9"/>
    </row>
    <row r="22" spans="1:16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9"/>
    </row>
    <row r="23" spans="1:16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9"/>
    </row>
    <row r="24" spans="1:16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9"/>
    </row>
    <row r="25" spans="1:16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9"/>
    </row>
    <row r="26" spans="1:16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9"/>
    </row>
    <row r="27" spans="1:16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9"/>
    </row>
    <row r="28" spans="1:16" ht="16.05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</row>
    <row r="29" spans="1:16" ht="16.05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9"/>
    </row>
    <row r="30" spans="1:16" ht="16.0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</row>
    <row r="31" spans="1:16" ht="16.0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9"/>
    </row>
    <row r="32" spans="1:16" ht="16.05" customHeight="1">
      <c r="P32" s="30"/>
    </row>
    <row r="33" spans="2:15" ht="42" customHeight="1" thickBot="1">
      <c r="B33" s="24" t="s">
        <v>34</v>
      </c>
      <c r="C33" s="25" t="s">
        <v>35</v>
      </c>
      <c r="D33" s="26"/>
      <c r="E33" s="24" t="s">
        <v>33</v>
      </c>
      <c r="F33" s="25" t="s">
        <v>35</v>
      </c>
      <c r="G33" s="26"/>
      <c r="H33" s="24" t="s">
        <v>6</v>
      </c>
      <c r="I33" s="25" t="s">
        <v>35</v>
      </c>
      <c r="J33" s="26"/>
      <c r="K33" s="24" t="s">
        <v>28</v>
      </c>
      <c r="L33" s="25" t="s">
        <v>35</v>
      </c>
      <c r="M33" s="26"/>
      <c r="N33" s="24" t="s">
        <v>11</v>
      </c>
      <c r="O33" s="27" t="s">
        <v>35</v>
      </c>
    </row>
    <row r="34" spans="2:15" ht="15.6" thickTop="1">
      <c r="B34" s="3" t="s">
        <v>43</v>
      </c>
      <c r="C34" s="3">
        <f>COUNTIF(Table_test_case[FUNGTION],TablePage[[#This Row],[PAGE]])</f>
        <v>7</v>
      </c>
      <c r="E34" s="3" t="s">
        <v>8</v>
      </c>
      <c r="F34" s="3">
        <f>COUNTIF(Table_test_case[TEST TYPE],TableTestType[[#This Row],[TYPE TEST]])</f>
        <v>5</v>
      </c>
      <c r="H34" s="3" t="s">
        <v>24</v>
      </c>
      <c r="I34" s="3">
        <f>COUNTIF(Table_test_case[STATUS],TableStatus[[#This Row],[STATUS]])</f>
        <v>0</v>
      </c>
      <c r="K34" s="3" t="s">
        <v>29</v>
      </c>
      <c r="L34" s="3">
        <f>COUNTIF(Table_test_case[PRIORITY],TablePriority[[#This Row],[PRIORITY ]])</f>
        <v>0</v>
      </c>
      <c r="N34" s="3" t="s">
        <v>9</v>
      </c>
      <c r="O34" s="3">
        <f>COUNTIF(Table_test_case[PIC],TablePic[[#This Row],[PIC]])</f>
        <v>0</v>
      </c>
    </row>
    <row r="35" spans="2:15">
      <c r="B35" s="3" t="s">
        <v>44</v>
      </c>
      <c r="C35" s="3">
        <f>COUNTIF(Table_test_case[FUNGTION],TablePage[[#This Row],[PAGE]])</f>
        <v>2</v>
      </c>
      <c r="E35" s="3" t="s">
        <v>12</v>
      </c>
      <c r="F35" s="3">
        <f>COUNTIF(Table_test_case[TEST TYPE],TableTestType[[#This Row],[TYPE TEST]])</f>
        <v>4</v>
      </c>
      <c r="H35" s="3" t="s">
        <v>25</v>
      </c>
      <c r="I35" s="3">
        <f>COUNTIF(Table_test_case[STATUS],TableStatus[[#This Row],[STATUS]])</f>
        <v>0</v>
      </c>
      <c r="K35" s="3" t="s">
        <v>30</v>
      </c>
      <c r="L35" s="3">
        <f>COUNTIF(Table_test_case[PRIORITY],TablePriority[[#This Row],[PRIORITY ]])</f>
        <v>0</v>
      </c>
      <c r="N35" s="3" t="s">
        <v>37</v>
      </c>
      <c r="O35" s="3">
        <f>COUNTIF(Table_test_case[PIC],TablePic[[#This Row],[PIC]])</f>
        <v>0</v>
      </c>
    </row>
    <row r="36" spans="2:15">
      <c r="H36" s="3" t="s">
        <v>26</v>
      </c>
      <c r="I36" s="3">
        <f>COUNTIF(Table_test_case[STATUS],TableStatus[[#This Row],[STATUS]])</f>
        <v>0</v>
      </c>
      <c r="K36" s="3" t="s">
        <v>31</v>
      </c>
      <c r="L36" s="3">
        <f>COUNTIF(Table_test_case[PRIORITY],TablePriority[[#This Row],[PRIORITY ]])</f>
        <v>5</v>
      </c>
      <c r="N36" s="3" t="s">
        <v>38</v>
      </c>
      <c r="O36" s="3">
        <f>COUNTIF(Table_test_case[PIC],TablePic[[#This Row],[PIC]])</f>
        <v>0</v>
      </c>
    </row>
    <row r="37" spans="2:15">
      <c r="H37" s="3" t="s">
        <v>21</v>
      </c>
      <c r="I37" s="3">
        <f>COUNTIF(Table_test_case[STATUS],TableStatus[[#This Row],[STATUS]])</f>
        <v>9</v>
      </c>
      <c r="K37" s="3" t="s">
        <v>32</v>
      </c>
      <c r="L37" s="3">
        <f>COUNTIF(Table_test_case[PRIORITY],TablePriority[[#This Row],[PRIORITY ]])</f>
        <v>4</v>
      </c>
      <c r="N37" s="3" t="s">
        <v>39</v>
      </c>
      <c r="O37" s="4">
        <f>COUNTIF(Table_test_case[PIC],TablePic[[#This Row],[PIC]])</f>
        <v>0</v>
      </c>
    </row>
    <row r="38" spans="2:15">
      <c r="I38" s="4"/>
      <c r="N38" s="3" t="s">
        <v>40</v>
      </c>
      <c r="O38" s="4">
        <f>COUNTIF(Table_test_case[PIC],TablePic[[#This Row],[PIC]])</f>
        <v>0</v>
      </c>
    </row>
    <row r="39" spans="2:15">
      <c r="I39" s="4"/>
      <c r="N39" s="3" t="s">
        <v>41</v>
      </c>
      <c r="O39" s="4">
        <f>COUNTIF(Table_test_case[PIC],TablePic[[#This Row],[PIC]])</f>
        <v>0</v>
      </c>
    </row>
    <row r="40" spans="2:15">
      <c r="I40" s="4"/>
      <c r="N40" s="3" t="s">
        <v>42</v>
      </c>
      <c r="O40" s="4">
        <f>COUNTIF(Table_test_case[PIC],TablePic[[#This Row],[PIC]])</f>
        <v>0</v>
      </c>
    </row>
    <row r="41" spans="2:15">
      <c r="I41" s="4"/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S26"/>
  <sheetViews>
    <sheetView showGridLines="0" tabSelected="1" zoomScaleNormal="100" workbookViewId="0">
      <pane xSplit="6" ySplit="9" topLeftCell="G15" activePane="bottomRight" state="frozen"/>
      <selection activeCell="C17" sqref="C17:C18"/>
      <selection pane="topRight" activeCell="C17" sqref="C17:C18"/>
      <selection pane="bottomLeft" activeCell="C17" sqref="C17:C18"/>
      <selection pane="bottomRight" activeCell="A18" sqref="A18"/>
    </sheetView>
  </sheetViews>
  <sheetFormatPr defaultColWidth="9" defaultRowHeight="15" customHeight="1"/>
  <cols>
    <col min="1" max="1" width="4" style="9" customWidth="1"/>
    <col min="2" max="2" width="30.796875" style="9" customWidth="1"/>
    <col min="3" max="3" width="9.796875" style="9" customWidth="1"/>
    <col min="4" max="4" width="8.19921875" style="9" bestFit="1" customWidth="1"/>
    <col min="5" max="5" width="11" style="9" customWidth="1"/>
    <col min="6" max="6" width="2.5" style="9" customWidth="1"/>
    <col min="7" max="11" width="35.69921875" style="9" customWidth="1"/>
    <col min="12" max="13" width="23.796875" style="9" customWidth="1"/>
    <col min="14" max="15" width="12.796875" style="9" customWidth="1"/>
    <col min="16" max="16" width="16.796875" style="9" customWidth="1"/>
    <col min="17" max="17" width="12.796875" style="9" customWidth="1"/>
    <col min="18" max="18" width="16.796875" style="9" customWidth="1"/>
    <col min="19" max="19" width="9" style="21"/>
    <col min="20" max="16384" width="9" style="9"/>
  </cols>
  <sheetData>
    <row r="1" spans="1:19" ht="15" customHeight="1">
      <c r="S1" s="9"/>
    </row>
    <row r="2" spans="1:19" ht="15" customHeight="1">
      <c r="A2" s="10"/>
      <c r="C2" s="35"/>
      <c r="D2" s="35"/>
      <c r="E2" s="35"/>
      <c r="F2" s="11"/>
      <c r="G2" s="12"/>
      <c r="H2" s="12"/>
      <c r="I2" s="13"/>
      <c r="J2" s="10"/>
      <c r="K2" s="10"/>
      <c r="L2" s="10"/>
      <c r="M2" s="10"/>
      <c r="N2" s="10"/>
      <c r="O2" s="10"/>
      <c r="P2" s="10"/>
      <c r="Q2" s="10"/>
      <c r="R2" s="10"/>
      <c r="S2" s="9"/>
    </row>
    <row r="3" spans="1:19" ht="15" customHeight="1">
      <c r="A3" s="10"/>
      <c r="C3" s="42"/>
      <c r="D3" s="42"/>
      <c r="E3" s="36"/>
      <c r="F3" s="11"/>
      <c r="G3" s="14"/>
      <c r="H3" s="14"/>
      <c r="I3" s="13"/>
      <c r="J3" s="10"/>
      <c r="K3" s="10"/>
      <c r="L3" s="10"/>
      <c r="M3" s="10"/>
      <c r="N3" s="10"/>
      <c r="O3" s="10"/>
      <c r="P3" s="10"/>
      <c r="Q3" s="10"/>
      <c r="R3" s="10"/>
      <c r="S3" s="9"/>
    </row>
    <row r="4" spans="1:19" ht="15" customHeight="1">
      <c r="A4" s="10"/>
      <c r="C4" s="42"/>
      <c r="D4" s="42"/>
      <c r="E4" s="37"/>
      <c r="F4" s="11"/>
      <c r="G4" s="15"/>
      <c r="H4" s="15"/>
      <c r="I4" s="13"/>
      <c r="J4" s="10"/>
      <c r="K4" s="10"/>
      <c r="L4" s="10"/>
      <c r="M4" s="10"/>
      <c r="N4" s="10"/>
      <c r="O4" s="10"/>
      <c r="P4" s="10"/>
      <c r="Q4" s="10"/>
      <c r="R4" s="10"/>
      <c r="S4" s="9"/>
    </row>
    <row r="5" spans="1:19" ht="15" customHeight="1">
      <c r="A5" s="10"/>
      <c r="C5" s="42"/>
      <c r="D5" s="42"/>
      <c r="E5" s="37"/>
      <c r="F5" s="16"/>
      <c r="G5" s="15"/>
      <c r="H5" s="15"/>
      <c r="I5" s="17"/>
      <c r="J5" s="10"/>
      <c r="K5" s="10"/>
      <c r="L5" s="10"/>
      <c r="M5" s="10"/>
      <c r="N5" s="10"/>
      <c r="O5" s="10"/>
      <c r="P5" s="10"/>
      <c r="Q5" s="10"/>
      <c r="R5" s="10"/>
      <c r="S5" s="9"/>
    </row>
    <row r="6" spans="1:19" ht="15" customHeight="1">
      <c r="A6" s="10"/>
      <c r="B6" s="18"/>
      <c r="C6" s="42"/>
      <c r="D6" s="42"/>
      <c r="E6" s="37"/>
      <c r="F6" s="18"/>
      <c r="G6" s="19"/>
      <c r="H6" s="19"/>
      <c r="I6" s="17"/>
      <c r="J6" s="10"/>
      <c r="K6" s="10"/>
      <c r="L6" s="10"/>
      <c r="M6" s="10"/>
      <c r="N6" s="10"/>
      <c r="O6" s="10"/>
      <c r="P6" s="10"/>
      <c r="Q6" s="10"/>
      <c r="R6" s="10"/>
      <c r="S6" s="9"/>
    </row>
    <row r="7" spans="1:19" ht="15" customHeight="1">
      <c r="A7" s="10"/>
      <c r="B7" s="18"/>
      <c r="F7" s="18"/>
      <c r="G7" s="19"/>
      <c r="H7" s="19"/>
      <c r="I7" s="17"/>
      <c r="J7" s="10"/>
      <c r="K7" s="10"/>
      <c r="L7" s="10"/>
      <c r="M7" s="10"/>
      <c r="N7" s="10"/>
      <c r="O7" s="10"/>
      <c r="P7" s="10"/>
      <c r="Q7" s="10"/>
      <c r="R7" s="10"/>
      <c r="S7" s="9"/>
    </row>
    <row r="8" spans="1:19" ht="15" customHeight="1">
      <c r="A8" s="10"/>
      <c r="B8" s="10"/>
      <c r="G8" s="13"/>
      <c r="H8" s="13"/>
      <c r="I8" s="13"/>
      <c r="J8" s="10"/>
      <c r="K8" s="10"/>
      <c r="L8" s="10"/>
      <c r="M8" s="10"/>
      <c r="N8" s="10"/>
      <c r="O8" s="10"/>
      <c r="P8" s="10"/>
      <c r="Q8" s="10"/>
      <c r="R8" s="10"/>
      <c r="S8" s="9"/>
    </row>
    <row r="9" spans="1:19" ht="39" customHeight="1">
      <c r="A9" s="33" t="s">
        <v>0</v>
      </c>
      <c r="B9" s="34" t="s">
        <v>1</v>
      </c>
      <c r="C9" s="34" t="s">
        <v>22</v>
      </c>
      <c r="D9" s="34" t="s">
        <v>5</v>
      </c>
      <c r="E9" s="34" t="s">
        <v>6</v>
      </c>
      <c r="F9" s="38" t="s">
        <v>36</v>
      </c>
      <c r="G9" s="34" t="s">
        <v>15</v>
      </c>
      <c r="H9" s="34" t="s">
        <v>16</v>
      </c>
      <c r="I9" s="34" t="s">
        <v>2</v>
      </c>
      <c r="J9" s="34" t="s">
        <v>3</v>
      </c>
      <c r="K9" s="34" t="s">
        <v>4</v>
      </c>
      <c r="L9" s="34" t="s">
        <v>7</v>
      </c>
      <c r="M9" s="34" t="s">
        <v>27</v>
      </c>
      <c r="N9" s="34" t="s">
        <v>11</v>
      </c>
      <c r="O9" s="34" t="s">
        <v>17</v>
      </c>
      <c r="P9" s="34" t="s">
        <v>18</v>
      </c>
      <c r="Q9" s="34" t="s">
        <v>19</v>
      </c>
      <c r="R9" s="34" t="s">
        <v>20</v>
      </c>
      <c r="S9" s="9"/>
    </row>
    <row r="10" spans="1:19" s="20" customFormat="1" ht="13.2">
      <c r="A10" s="31">
        <v>1</v>
      </c>
      <c r="B10" s="5" t="s">
        <v>43</v>
      </c>
      <c r="C10" s="5" t="s">
        <v>46</v>
      </c>
      <c r="D10" s="5" t="s">
        <v>8</v>
      </c>
      <c r="E10" s="5" t="s">
        <v>21</v>
      </c>
      <c r="F10" s="8"/>
      <c r="G10" s="6" t="s">
        <v>48</v>
      </c>
      <c r="H10" s="6"/>
      <c r="I10" s="6"/>
      <c r="J10" s="6" t="s">
        <v>45</v>
      </c>
      <c r="K10" s="6"/>
      <c r="L10" s="7"/>
      <c r="M10" s="7" t="s">
        <v>31</v>
      </c>
      <c r="N10" s="7"/>
      <c r="O10" s="5" t="s">
        <v>42</v>
      </c>
      <c r="P10" s="23">
        <v>44691.601388888892</v>
      </c>
      <c r="Q10" s="7"/>
      <c r="R10" s="32"/>
    </row>
    <row r="11" spans="1:19" s="20" customFormat="1" ht="79.2">
      <c r="A11" s="31">
        <v>2</v>
      </c>
      <c r="B11" s="5" t="s">
        <v>43</v>
      </c>
      <c r="C11" s="5" t="s">
        <v>47</v>
      </c>
      <c r="D11" s="5" t="s">
        <v>8</v>
      </c>
      <c r="E11" s="5" t="s">
        <v>21</v>
      </c>
      <c r="F11" s="8"/>
      <c r="G11" s="6" t="s">
        <v>49</v>
      </c>
      <c r="H11" s="6" t="s">
        <v>50</v>
      </c>
      <c r="I11" s="6"/>
      <c r="J11" s="6" t="s">
        <v>51</v>
      </c>
      <c r="K11" s="6"/>
      <c r="L11" s="7" t="s">
        <v>55</v>
      </c>
      <c r="M11" s="7" t="s">
        <v>31</v>
      </c>
      <c r="N11" s="7"/>
      <c r="O11" s="5" t="s">
        <v>42</v>
      </c>
      <c r="P11" s="23">
        <v>44691.603842592594</v>
      </c>
      <c r="Q11" s="7"/>
      <c r="R11" s="32"/>
    </row>
    <row r="12" spans="1:19" s="20" customFormat="1" ht="52.8">
      <c r="A12" s="31">
        <v>3</v>
      </c>
      <c r="B12" s="5" t="s">
        <v>43</v>
      </c>
      <c r="C12" s="5" t="s">
        <v>52</v>
      </c>
      <c r="D12" s="5" t="s">
        <v>8</v>
      </c>
      <c r="E12" s="5" t="s">
        <v>21</v>
      </c>
      <c r="F12" s="8"/>
      <c r="G12" s="6" t="s">
        <v>53</v>
      </c>
      <c r="H12" s="6" t="s">
        <v>54</v>
      </c>
      <c r="I12" s="6"/>
      <c r="J12" s="6" t="s">
        <v>51</v>
      </c>
      <c r="K12" s="6"/>
      <c r="L12" s="43" t="s">
        <v>56</v>
      </c>
      <c r="M12" s="7" t="s">
        <v>31</v>
      </c>
      <c r="N12" s="7"/>
      <c r="O12" s="5" t="s">
        <v>42</v>
      </c>
      <c r="P12" s="23">
        <v>44691.608900462961</v>
      </c>
      <c r="Q12" s="7"/>
      <c r="R12" s="32"/>
    </row>
    <row r="13" spans="1:19" s="20" customFormat="1" ht="52.8">
      <c r="A13" s="31">
        <v>4</v>
      </c>
      <c r="B13" s="5" t="s">
        <v>43</v>
      </c>
      <c r="C13" s="5" t="s">
        <v>57</v>
      </c>
      <c r="D13" s="5" t="s">
        <v>12</v>
      </c>
      <c r="E13" s="5" t="s">
        <v>21</v>
      </c>
      <c r="F13" s="8"/>
      <c r="G13" s="6" t="s">
        <v>58</v>
      </c>
      <c r="H13" s="6" t="s">
        <v>64</v>
      </c>
      <c r="I13" s="6"/>
      <c r="J13" s="6" t="s">
        <v>61</v>
      </c>
      <c r="K13" s="6"/>
      <c r="L13" s="7"/>
      <c r="M13" s="7" t="s">
        <v>32</v>
      </c>
      <c r="N13" s="7"/>
      <c r="O13" s="5" t="s">
        <v>42</v>
      </c>
      <c r="P13" s="23">
        <v>44691.611261574071</v>
      </c>
      <c r="Q13" s="7"/>
      <c r="R13" s="32"/>
    </row>
    <row r="14" spans="1:19" ht="52.8">
      <c r="A14" s="31">
        <v>5</v>
      </c>
      <c r="B14" s="5" t="s">
        <v>43</v>
      </c>
      <c r="C14" s="5" t="s">
        <v>59</v>
      </c>
      <c r="D14" s="5" t="s">
        <v>12</v>
      </c>
      <c r="E14" s="5" t="s">
        <v>21</v>
      </c>
      <c r="F14" s="8"/>
      <c r="G14" s="6" t="s">
        <v>60</v>
      </c>
      <c r="H14" s="6" t="s">
        <v>65</v>
      </c>
      <c r="I14" s="6"/>
      <c r="J14" s="6" t="s">
        <v>61</v>
      </c>
      <c r="K14" s="6"/>
      <c r="L14" s="7"/>
      <c r="M14" s="7" t="s">
        <v>32</v>
      </c>
      <c r="N14" s="7"/>
      <c r="O14" s="5" t="s">
        <v>42</v>
      </c>
      <c r="P14" s="23">
        <v>44691.614583333336</v>
      </c>
      <c r="Q14" s="7"/>
      <c r="R14" s="32"/>
    </row>
    <row r="15" spans="1:19" ht="52.8">
      <c r="A15" s="31">
        <v>6</v>
      </c>
      <c r="B15" s="5" t="s">
        <v>43</v>
      </c>
      <c r="C15" s="5" t="s">
        <v>62</v>
      </c>
      <c r="D15" s="5" t="s">
        <v>12</v>
      </c>
      <c r="E15" s="5" t="s">
        <v>21</v>
      </c>
      <c r="F15" s="8"/>
      <c r="G15" s="6" t="s">
        <v>63</v>
      </c>
      <c r="H15" s="6" t="s">
        <v>66</v>
      </c>
      <c r="I15" s="6"/>
      <c r="J15" s="6" t="s">
        <v>61</v>
      </c>
      <c r="K15" s="6"/>
      <c r="L15" s="7"/>
      <c r="M15" s="7" t="s">
        <v>32</v>
      </c>
      <c r="N15" s="7"/>
      <c r="O15" s="5" t="s">
        <v>42</v>
      </c>
      <c r="P15" s="23">
        <v>44691.615925925929</v>
      </c>
      <c r="Q15" s="7"/>
      <c r="R15" s="32"/>
    </row>
    <row r="16" spans="1:19" ht="79.2">
      <c r="A16" s="31">
        <v>7</v>
      </c>
      <c r="B16" s="5" t="s">
        <v>43</v>
      </c>
      <c r="C16" s="5" t="s">
        <v>67</v>
      </c>
      <c r="D16" s="5" t="s">
        <v>12</v>
      </c>
      <c r="E16" s="5" t="s">
        <v>21</v>
      </c>
      <c r="F16" s="8"/>
      <c r="G16" s="6" t="s">
        <v>68</v>
      </c>
      <c r="H16" s="6" t="s">
        <v>69</v>
      </c>
      <c r="I16" s="6"/>
      <c r="J16" s="6" t="s">
        <v>61</v>
      </c>
      <c r="K16" s="6"/>
      <c r="L16" s="7"/>
      <c r="M16" s="7" t="s">
        <v>32</v>
      </c>
      <c r="N16" s="7"/>
      <c r="O16" s="5" t="s">
        <v>42</v>
      </c>
      <c r="P16" s="23">
        <v>44691.618472222224</v>
      </c>
      <c r="Q16" s="7"/>
      <c r="R16" s="32"/>
    </row>
    <row r="17" spans="1:18" ht="39.6">
      <c r="A17" s="31">
        <v>8</v>
      </c>
      <c r="B17" s="5" t="s">
        <v>44</v>
      </c>
      <c r="C17" s="5" t="s">
        <v>72</v>
      </c>
      <c r="D17" s="5" t="s">
        <v>8</v>
      </c>
      <c r="E17" s="5" t="s">
        <v>21</v>
      </c>
      <c r="F17" s="8"/>
      <c r="G17" s="6" t="s">
        <v>74</v>
      </c>
      <c r="H17" s="6" t="s">
        <v>70</v>
      </c>
      <c r="I17" s="6"/>
      <c r="J17" s="6" t="s">
        <v>71</v>
      </c>
      <c r="K17" s="6"/>
      <c r="L17" s="43" t="s">
        <v>56</v>
      </c>
      <c r="M17" s="7" t="s">
        <v>31</v>
      </c>
      <c r="N17" s="7"/>
      <c r="O17" s="5" t="s">
        <v>42</v>
      </c>
      <c r="P17" s="23">
        <v>44691.619409722225</v>
      </c>
      <c r="Q17" s="7"/>
      <c r="R17" s="32"/>
    </row>
    <row r="18" spans="1:18" ht="26.4">
      <c r="A18" s="31">
        <v>9</v>
      </c>
      <c r="B18" s="5" t="s">
        <v>44</v>
      </c>
      <c r="C18" s="5" t="s">
        <v>73</v>
      </c>
      <c r="D18" s="5" t="s">
        <v>8</v>
      </c>
      <c r="E18" s="5" t="s">
        <v>21</v>
      </c>
      <c r="F18" s="8"/>
      <c r="G18" s="6" t="s">
        <v>75</v>
      </c>
      <c r="H18" s="6" t="s">
        <v>76</v>
      </c>
      <c r="I18" s="6"/>
      <c r="J18" s="6" t="s">
        <v>77</v>
      </c>
      <c r="K18" s="6"/>
      <c r="L18" s="7"/>
      <c r="M18" s="7" t="s">
        <v>31</v>
      </c>
      <c r="N18" s="7"/>
      <c r="O18" s="5" t="s">
        <v>42</v>
      </c>
      <c r="P18" s="23">
        <v>44691.620555555557</v>
      </c>
      <c r="Q18" s="7"/>
      <c r="R18" s="32"/>
    </row>
    <row r="19" spans="1:18" ht="15" customHeight="1">
      <c r="A19" s="44">
        <f>A18+1</f>
        <v>10</v>
      </c>
      <c r="B19" s="45"/>
      <c r="C19" s="45"/>
      <c r="D19" s="46"/>
      <c r="E19" s="46"/>
      <c r="F19" s="47"/>
      <c r="G19" s="46"/>
      <c r="H19" s="46"/>
      <c r="I19" s="46"/>
      <c r="J19" s="48"/>
      <c r="K19" s="48"/>
      <c r="L19" s="49"/>
      <c r="M19" s="49"/>
      <c r="N19" s="49"/>
      <c r="O19" s="45"/>
      <c r="P19" s="50"/>
      <c r="Q19" s="49"/>
      <c r="R19" s="51"/>
    </row>
    <row r="21" spans="1:18" ht="15" customHeight="1">
      <c r="B21" s="39" t="s">
        <v>10</v>
      </c>
      <c r="C21" s="39" t="s">
        <v>23</v>
      </c>
      <c r="E21" s="22"/>
    </row>
    <row r="22" spans="1:18" ht="15" customHeight="1">
      <c r="B22" s="40" t="str" cm="1">
        <f t="array" ref="B22:C25">Dashboard!H34:I37</f>
        <v>Passed</v>
      </c>
      <c r="C22" s="40">
        <v>0</v>
      </c>
      <c r="D22" s="22"/>
      <c r="E22" s="22"/>
    </row>
    <row r="23" spans="1:18" ht="15" customHeight="1">
      <c r="B23" s="40" t="str">
        <v>Failed</v>
      </c>
      <c r="C23" s="40">
        <v>0</v>
      </c>
    </row>
    <row r="24" spans="1:18" ht="15" customHeight="1">
      <c r="B24" s="40" t="str">
        <v>Not Executed</v>
      </c>
      <c r="C24" s="40">
        <v>0</v>
      </c>
    </row>
    <row r="25" spans="1:18" ht="15" customHeight="1">
      <c r="B25" s="40" t="str">
        <v>Not Ready</v>
      </c>
      <c r="C25" s="40">
        <v>9</v>
      </c>
    </row>
    <row r="26" spans="1:18" ht="15" customHeight="1">
      <c r="B26" s="41" t="s">
        <v>35</v>
      </c>
      <c r="C26" s="41">
        <f>SUM(C22:C25)</f>
        <v>9</v>
      </c>
    </row>
  </sheetData>
  <mergeCells count="4">
    <mergeCell ref="C5:D5"/>
    <mergeCell ref="C3:D3"/>
    <mergeCell ref="C4:D4"/>
    <mergeCell ref="C6:D6"/>
  </mergeCells>
  <dataValidations count="5">
    <dataValidation type="list" allowBlank="1" showInputMessage="1" showErrorMessage="1" sqref="D10:D19" xr:uid="{00000000-0002-0000-0000-000001000000}">
      <formula1>typeTestList</formula1>
    </dataValidation>
    <dataValidation type="list" allowBlank="1" showInputMessage="1" showErrorMessage="1" sqref="B10:B19" xr:uid="{00000000-0002-0000-0000-000000000000}">
      <formula1>pageList</formula1>
    </dataValidation>
    <dataValidation type="list" allowBlank="1" showInputMessage="1" showErrorMessage="1" sqref="E10:E19" xr:uid="{AB3C7D48-6248-BF44-BC67-9601FA3FEF51}">
      <formula1>statusList</formula1>
    </dataValidation>
    <dataValidation type="list" allowBlank="1" showInputMessage="1" showErrorMessage="1" sqref="M10:M19" xr:uid="{B8EBAFA2-42E0-C149-B2F2-1BAED273F9DD}">
      <formula1>priorityList</formula1>
    </dataValidation>
    <dataValidation type="list" allowBlank="1" showInputMessage="1" showErrorMessage="1" sqref="N10:O19 Q10:Q19" xr:uid="{797079AC-8B14-9B4A-BC48-F63FF901A58C}">
      <formula1>picList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uttonAddTestCase_Click">
                <anchor moveWithCells="1" sizeWithCells="1">
                  <from>
                    <xdr:col>0</xdr:col>
                    <xdr:colOff>76200</xdr:colOff>
                    <xdr:row>6</xdr:row>
                    <xdr:rowOff>0</xdr:rowOff>
                  </from>
                  <to>
                    <xdr:col>1</xdr:col>
                    <xdr:colOff>853440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ButtonDeleteTestCase_Click">
                <anchor moveWithCells="1" sizeWithCells="1">
                  <from>
                    <xdr:col>1</xdr:col>
                    <xdr:colOff>929640</xdr:colOff>
                    <xdr:row>6</xdr:row>
                    <xdr:rowOff>0</xdr:rowOff>
                  </from>
                  <to>
                    <xdr:col>1</xdr:col>
                    <xdr:colOff>2156460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D74F88F4-B181-1546-B3FC-BD6ADD742F1D}">
            <xm:f>$E10=Dashboard!$H$37</xm:f>
            <x14:dxf>
              <font>
                <color theme="2" tint="-0.89996032593768116"/>
              </font>
              <fill>
                <patternFill>
                  <fgColor auto="1"/>
                  <bgColor theme="3" tint="0.79998168889431442"/>
                </patternFill>
              </fill>
            </x14:dxf>
          </x14:cfRule>
          <x14:cfRule type="expression" priority="11" id="{264D5D4A-A35F-4946-813E-408A03274DAD}">
            <xm:f>$E10=Dashboard!$H$36</xm:f>
            <x14:dxf>
              <font>
                <color theme="2" tint="-0.89996032593768116"/>
              </font>
              <fill>
                <patternFill>
                  <fgColor auto="1"/>
                  <bgColor theme="0" tint="-4.9989318521683403E-2"/>
                </patternFill>
              </fill>
            </x14:dxf>
          </x14:cfRule>
          <x14:cfRule type="expression" priority="12" id="{9D6610C4-829E-40B1-9539-3F8D2270CBC0}">
            <xm:f>$E10=Dashboard!$H$35</xm:f>
            <x14:dxf>
              <font>
                <color theme="1"/>
              </font>
              <fill>
                <patternFill>
                  <bgColor theme="5" tint="0.79998168889431442"/>
                </patternFill>
              </fill>
            </x14:dxf>
          </x14:cfRule>
          <x14:cfRule type="expression" priority="13" id="{CE8CA732-719E-45E0-9A53-A6031CBE476B}">
            <xm:f>$E10=Dashboard!$H$34</xm:f>
            <x14:dxf>
              <font>
                <color theme="1"/>
              </font>
              <fill>
                <patternFill>
                  <bgColor theme="9" tint="0.79998168889431442"/>
                </patternFill>
              </fill>
            </x14:dxf>
          </x14:cfRule>
          <xm:sqref>A10:E19 G10:R19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"/>
  <sheetViews>
    <sheetView showGridLines="0" workbookViewId="0">
      <selection activeCell="G2" sqref="G2"/>
    </sheetView>
  </sheetViews>
  <sheetFormatPr defaultColWidth="8.796875" defaultRowHeight="15.6"/>
  <cols>
    <col min="1" max="1" width="57.796875" customWidth="1"/>
  </cols>
  <sheetData>
    <row r="1" spans="1:1">
      <c r="A1" s="2" t="s">
        <v>13</v>
      </c>
    </row>
    <row r="2" spans="1:1" ht="265.2">
      <c r="A2" s="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Dashboard</vt:lpstr>
      <vt:lpstr>Test Case</vt:lpstr>
      <vt:lpstr>MACRO</vt:lpstr>
      <vt:lpstr>list_test_case</vt:lpstr>
      <vt:lpstr>pageList</vt:lpstr>
      <vt:lpstr>picList</vt:lpstr>
      <vt:lpstr>priorityList</vt:lpstr>
      <vt:lpstr>statusList</vt:lpstr>
      <vt:lpstr>typeTestList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Template Test Case - ProjectName</dc:title>
  <dc:subject/>
  <dc:creator>Ade Aditya</dc:creator>
  <cp:keywords/>
  <dc:description/>
  <cp:lastModifiedBy>ahmad sauki</cp:lastModifiedBy>
  <cp:revision/>
  <dcterms:created xsi:type="dcterms:W3CDTF">2021-09-10T01:15:16Z</dcterms:created>
  <dcterms:modified xsi:type="dcterms:W3CDTF">2022-05-10T07:54:57Z</dcterms:modified>
  <cp:category/>
  <cp:contentStatus/>
</cp:coreProperties>
</file>