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tables/table6.xml" ContentType="application/vnd.openxmlformats-officedocument.spreadsheetml.table+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527" codeName="{B6124F1A-AFFB-F854-7757-9A1D4C6FC43C}"/>
  <workbookPr codeName="ThisWorkbook" defaultThemeVersion="166925"/>
  <mc:AlternateContent xmlns:mc="http://schemas.openxmlformats.org/markup-compatibility/2006">
    <mc:Choice Requires="x15">
      <x15ac:absPath xmlns:x15ac="http://schemas.microsoft.com/office/spreadsheetml/2010/11/ac" url="C:\Users\sauki\xa-bootcamp-batch-283-qa-teknologi\007. Sauki\005. Test Master Data BTR\"/>
    </mc:Choice>
  </mc:AlternateContent>
  <xr:revisionPtr revIDLastSave="0" documentId="13_ncr:1_{895C172C-50DA-48EF-90FD-194FF26FB957}" xr6:coauthVersionLast="47" xr6:coauthVersionMax="47" xr10:uidLastSave="{00000000-0000-0000-0000-000000000000}"/>
  <bookViews>
    <workbookView xWindow="1320" yWindow="1188" windowWidth="15120" windowHeight="8700" activeTab="1" xr2:uid="{00000000-000D-0000-FFFF-FFFF00000000}"/>
  </bookViews>
  <sheets>
    <sheet name="Dashboard" sheetId="12" r:id="rId1"/>
    <sheet name="Test Case" sheetId="9" r:id="rId2"/>
    <sheet name="MACRO" sheetId="11" state="hidden" r:id="rId3"/>
  </sheets>
  <definedNames>
    <definedName name="_xlnm._FilterDatabase" localSheetId="1" hidden="1">'Test Case'!$A$9:$R$9</definedName>
    <definedName name="cityList">#REF!</definedName>
    <definedName name="list_test_case">'Test Case'!$A$10:$R$49</definedName>
    <definedName name="pageList">TablePage[PAGE]</definedName>
    <definedName name="picList">TablePic[PIC]</definedName>
    <definedName name="priorityList">TablePriority[[PRIORITY ]]</definedName>
    <definedName name="statusList">TableStatus[STATUS]</definedName>
    <definedName name="statusListPivot">Dashboard!#REF!</definedName>
    <definedName name="typeTestList">TableTestType[TYPE TEST]</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feature name="microsoft.com:LET_WF"/>
      </xcalcf:calcFeatures>
    </ext>
  </extLst>
</workbook>
</file>

<file path=xl/calcChain.xml><?xml version="1.0" encoding="utf-8"?>
<calcChain xmlns="http://schemas.openxmlformats.org/spreadsheetml/2006/main">
  <c r="A46" i="9" l="1"/>
  <c r="A40" i="9"/>
  <c r="C34" i="12"/>
  <c r="O37" i="12"/>
  <c r="O38" i="12"/>
  <c r="O39" i="12"/>
  <c r="O40" i="12"/>
  <c r="O34" i="12" l="1"/>
  <c r="O35" i="12"/>
  <c r="O36" i="12"/>
  <c r="L34" i="12"/>
  <c r="L35" i="12"/>
  <c r="L36" i="12"/>
  <c r="L37" i="12"/>
  <c r="I35" i="12"/>
  <c r="I36" i="12"/>
  <c r="I37" i="12"/>
  <c r="I34" i="12"/>
  <c r="F34" i="12"/>
  <c r="F35" i="12"/>
  <c r="B53" i="9" l="1" a="1"/>
  <c r="B53" i="9" s="1"/>
  <c r="B54" i="9" l="1"/>
  <c r="C54" i="9"/>
  <c r="B55" i="9"/>
  <c r="C55" i="9"/>
  <c r="B56" i="9"/>
  <c r="C53" i="9"/>
  <c r="C56" i="9"/>
  <c r="C57" i="9"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Ade Aditya</author>
  </authors>
  <commentList>
    <comment ref="N9" authorId="0" shapeId="0" xr:uid="{8082CA05-A8C7-074A-A9D5-3ABC8879D8E9}">
      <text>
        <r>
          <rPr>
            <b/>
            <sz val="10"/>
            <color rgb="FF000000"/>
            <rFont val="Tahoma"/>
            <family val="2"/>
          </rPr>
          <t>Ade Aditya:</t>
        </r>
        <r>
          <rPr>
            <sz val="10"/>
            <color rgb="FF000000"/>
            <rFont val="Tahoma"/>
            <family val="2"/>
          </rPr>
          <t xml:space="preserve">
</t>
        </r>
        <r>
          <rPr>
            <sz val="10"/>
            <color rgb="FF000000"/>
            <rFont val="Tahoma"/>
            <family val="2"/>
          </rPr>
          <t>PIC adalah programmer yang di assign terhadap fungsi tersebut</t>
        </r>
      </text>
    </comment>
  </commentList>
</comments>
</file>

<file path=xl/metadata.xml><?xml version="1.0" encoding="utf-8"?>
<metadata xmlns="http://schemas.openxmlformats.org/spreadsheetml/2006/main">
  <metadataTypes count="1">
    <metadataType name="XLDAPR" minSupportedVersion="120000" copy="1" pasteAll="1" pasteValues="1" merge="1" splitFirst="1" rowColShift="1" clearFormats="1" clearComments="1" assign="1" coerce="1" cellMeta="1"/>
  </metadataTypes>
  <futureMetadata name="XLDAPR" count="1">
    <bk>
      <extLst>
        <ext xmlns:xda="http://schemas.microsoft.com/office/spreadsheetml/2017/dynamicarray"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<sst xmlns="http://schemas.openxmlformats.org/spreadsheetml/2006/main" count="447" uniqueCount="194">
  <si>
    <t>NO.</t>
  </si>
  <si>
    <t>FUNGTION</t>
  </si>
  <si>
    <t>TEST STEPS</t>
  </si>
  <si>
    <t>EXPECTED RESULT</t>
  </si>
  <si>
    <t>ACTUAL RESULT</t>
  </si>
  <si>
    <t>TEST TYPE</t>
  </si>
  <si>
    <t>STATUS</t>
  </si>
  <si>
    <t>NOTES</t>
  </si>
  <si>
    <t>Positive</t>
  </si>
  <si>
    <t>Adit</t>
  </si>
  <si>
    <t>Status</t>
  </si>
  <si>
    <t>PIC</t>
  </si>
  <si>
    <t>Negative</t>
  </si>
  <si>
    <t>botton Add Test Case</t>
  </si>
  <si>
    <t>Sub ButtonAddTestCase_Click()
Dim ws As Worksheet
Set ws = ActiveSheet
Dim tbl As ListObject
Set tbl = ws.ListObjects("Table_test_case")
Dim newrow As ListRow
Set newrow = tbl.ListRows.Add
With newrow
    .Range(1) = tbl.ListRows.Count
    .Range(5) = "Not Exec."
    .Range(14) = Date
End With
End Sub</t>
  </si>
  <si>
    <t>DESCRIPTION</t>
  </si>
  <si>
    <t>PREREQUISITES</t>
  </si>
  <si>
    <t>CREATED
BY</t>
  </si>
  <si>
    <t>CREATED
ON</t>
  </si>
  <si>
    <t>EXECUTED
BY</t>
  </si>
  <si>
    <t>EXECUTED
ON</t>
  </si>
  <si>
    <t>Not Ready</t>
  </si>
  <si>
    <t>TEST
CASE
ID</t>
  </si>
  <si>
    <t>Total</t>
  </si>
  <si>
    <t>Passed</t>
  </si>
  <si>
    <t>Failed</t>
  </si>
  <si>
    <t>Not Executed</t>
  </si>
  <si>
    <t>PRIORITY</t>
  </si>
  <si>
    <t xml:space="preserve">PRIORITY </t>
  </si>
  <si>
    <t>Urgent</t>
  </si>
  <si>
    <t>High</t>
  </si>
  <si>
    <t>Medium</t>
  </si>
  <si>
    <t>Low</t>
  </si>
  <si>
    <t>TYPE TEST</t>
  </si>
  <si>
    <t>PAGE</t>
  </si>
  <si>
    <t>TOTAL</t>
  </si>
  <si>
    <t xml:space="preserve"> </t>
  </si>
  <si>
    <t>Lathifah</t>
  </si>
  <si>
    <t>Priscilla</t>
  </si>
  <si>
    <t>Ardhi</t>
  </si>
  <si>
    <t>Antok</t>
  </si>
  <si>
    <t>Rizka</t>
  </si>
  <si>
    <t>Sauki</t>
  </si>
  <si>
    <t>TC110001</t>
  </si>
  <si>
    <t>TC110002</t>
  </si>
  <si>
    <t>TC110007</t>
  </si>
  <si>
    <t>TC110003</t>
  </si>
  <si>
    <t>TC110004</t>
  </si>
  <si>
    <t>TC110005</t>
  </si>
  <si>
    <t>TC110006</t>
  </si>
  <si>
    <t>TC110008</t>
  </si>
  <si>
    <t>TC110009</t>
  </si>
  <si>
    <t>TC110010</t>
  </si>
  <si>
    <t>TC110011</t>
  </si>
  <si>
    <t>TC110012</t>
  </si>
  <si>
    <t>TC110013</t>
  </si>
  <si>
    <t>TC110014</t>
  </si>
  <si>
    <t>TC110015</t>
  </si>
  <si>
    <t>TC110016</t>
  </si>
  <si>
    <t>1.1. Master Data BTR</t>
  </si>
  <si>
    <t>Berhasil menambahkan data BTR</t>
  </si>
  <si>
    <t>1. Klik Add BTR,
2. Pilih BTR RU,
3. Masukkan BTR Year,
4. Masukkan BTR Value (USD),
5. Klik "Simpan"</t>
  </si>
  <si>
    <t>1. BTR RU : RU III,
2. BTR Year : 2022,
3. BTR Value (USD) : 60,207.19</t>
  </si>
  <si>
    <t>Tidak berhasil menambahkan data BTR</t>
  </si>
  <si>
    <t>Menambah data BTR baru dengan field dan data yang valid kecuali BTR Value tanpa koma sebagai separator dan titik sebagai decimal separator
1. BTR RU
2. BTR Year
3. BTR Value (USD)</t>
  </si>
  <si>
    <t>1. BTR RU : RU III,
2. BTR Year : 2022,
3. BTR Value (USD) : 60207</t>
  </si>
  <si>
    <t>Menambah data BTR baru dengan field dan data yang valid kecuali BTR Year dimana ada data yang sama didalam kolom BTR RU
1. BTR RU
2. BTR Year
3. BTR Value (USD)</t>
  </si>
  <si>
    <t>Menambah data BTR baru dimana hanya mengisi salah satu kolom dengan field
1. BTR RU
2. BTR Year
3. BTR Value (USD)</t>
  </si>
  <si>
    <t>Memunculkan "Field Is Required"</t>
  </si>
  <si>
    <t>Memunculkan "BTR Year for year 2000 already exsist"</t>
  </si>
  <si>
    <t>1. Klik Add BTR,
2. Pilih BTR RU, Masukkan BTR Year, atau Masukkan BTR Value (USD)
3. Klik "Simpan"</t>
  </si>
  <si>
    <t>Menutup form tanpa meyimpan data</t>
  </si>
  <si>
    <t>Klik "simpan" tanpa mengisi data</t>
  </si>
  <si>
    <t>Klik "cancel" tanpa mengisi data</t>
  </si>
  <si>
    <t>1. Klik Add BTR,
2. Klik "Cancel"</t>
  </si>
  <si>
    <t>1. Klik Add BTR,
2. Klik "Simpan"</t>
  </si>
  <si>
    <t>Desain Kolom BTR RU dan BTR Year Text rata kiri</t>
  </si>
  <si>
    <t xml:space="preserve">Desain kolom BTR RU dan BTR Year adalah teks rata kiri </t>
  </si>
  <si>
    <t>Desain kolom Currency adalah teks rata kanan</t>
  </si>
  <si>
    <t>Desain kolom Currency teks rata kanan</t>
  </si>
  <si>
    <t xml:space="preserve">Melakukan ascending untuk kolom BTR RU </t>
  </si>
  <si>
    <t>1. Klik Panah atas pada kolom BTR RU</t>
  </si>
  <si>
    <t>Mensorting BTR RU berdasarkan ascending</t>
  </si>
  <si>
    <t xml:space="preserve">Melakukan descending untuk kolom BTR RU </t>
  </si>
  <si>
    <t>1. Klik Panah bawah pada kolom BTR RU</t>
  </si>
  <si>
    <t>Mensorting BTR RU berdasarkan descending</t>
  </si>
  <si>
    <t xml:space="preserve">Melakukan ascending untuk kolom BTR Year </t>
  </si>
  <si>
    <t>1. Klik Panah atas pada kolom BTR Year</t>
  </si>
  <si>
    <t>Mensorting BTR Year berdasarkan ascending</t>
  </si>
  <si>
    <t xml:space="preserve">Melakukan descending untuk kolom BTR Year </t>
  </si>
  <si>
    <t>1. Klik Panah bawah pada kolom BTR Year</t>
  </si>
  <si>
    <t>Mensorting BTR Year berdasarkan descending</t>
  </si>
  <si>
    <t xml:space="preserve">Melakukan ascending untuk kolom BTR Value (USD) </t>
  </si>
  <si>
    <t>1. Klik Panah atas pada kolom BTR Value (USD)</t>
  </si>
  <si>
    <t>1. Klik Panah bawah pada kolom BTR Value (USD)</t>
  </si>
  <si>
    <t>Mensorting BTR Value (USD) berdasarkan ascending</t>
  </si>
  <si>
    <t>Mensorting BTR Value (USD) berdasarkan descending</t>
  </si>
  <si>
    <t xml:space="preserve">Melakukan ascending untuk kolom IsActive </t>
  </si>
  <si>
    <t xml:space="preserve">Melakukan descending untuk kolom IsActive </t>
  </si>
  <si>
    <t>1. Klik Panah atas pada kolom IsActive</t>
  </si>
  <si>
    <t>Mensorting IsActive berdasarkan ascending</t>
  </si>
  <si>
    <t>Mensorting IsActive berdasarkan descending</t>
  </si>
  <si>
    <t>Melakukan ascending untuk kolom created by</t>
  </si>
  <si>
    <t>Melakukan descending untuk kolom created by</t>
  </si>
  <si>
    <t>1. Klik Panah bawah pada kolom IsActive</t>
  </si>
  <si>
    <t>1. Klik panah atas pada kolom created by</t>
  </si>
  <si>
    <t>Mensorting created by berdasarkan ascending</t>
  </si>
  <si>
    <t>Mensorting created by berdasarkan descending</t>
  </si>
  <si>
    <t>Melakukan ascending untuk kolom update by</t>
  </si>
  <si>
    <t>Melakukan descending untuk kolom update by</t>
  </si>
  <si>
    <t>1. Klik panah atas pada kolom update by</t>
  </si>
  <si>
    <t>1. Klik panah bawah pada kolom update by</t>
  </si>
  <si>
    <t>1. Klik panah bawah pada kolom created by</t>
  </si>
  <si>
    <t>Mensorting update by berdasarkan ascending</t>
  </si>
  <si>
    <t>Mensorting update by berdasarkan desecending</t>
  </si>
  <si>
    <t>Melakukan ascending untuk kolom status</t>
  </si>
  <si>
    <t>Melakukan descending untuk kolom status</t>
  </si>
  <si>
    <t>1. Klik panah atas pada kolom status</t>
  </si>
  <si>
    <t>1. Klik panah bawah pada kolom status</t>
  </si>
  <si>
    <t>Mensorting status berdasarkan ascending</t>
  </si>
  <si>
    <t>Mensorting status berdasarkan descending</t>
  </si>
  <si>
    <t>TC110017</t>
  </si>
  <si>
    <t>1. Nilai angka untuk jumlah data yang ditampilkan</t>
  </si>
  <si>
    <t>1. Masukkan angka pada kolom show</t>
  </si>
  <si>
    <t>Menampilkan data sesuai dengan jumlah yang diinputkan</t>
  </si>
  <si>
    <t>TC110018</t>
  </si>
  <si>
    <t>Menfilter data yang akan ditampilkan (pagination)</t>
  </si>
  <si>
    <t>untuk data yang mempunyai status pending, maka action yang muncul : 
1. Detail
2. Edit
3. Delete</t>
  </si>
  <si>
    <t>Menampilkan action sesuai dengan status yang disebutkan di deskripsi</t>
  </si>
  <si>
    <t>TC110019</t>
  </si>
  <si>
    <t>untuk data yang mempunyai status approved, maka action yang muncul : 
1. Detail</t>
  </si>
  <si>
    <t>TC110020</t>
  </si>
  <si>
    <t>untuk data yang mempunyai status rejected, maka action yang muncul : 
1. Detail
2. Edit
3. Delete</t>
  </si>
  <si>
    <t xml:space="preserve">Menambah data BTR baru dengan data yang valid dan status IsActive is true/ceklis
1. BTR RU
2. BTR Year
3. BTR Value (USD)
4. IsActive </t>
  </si>
  <si>
    <t>1. BTR RU   : RU III,
2. BTR Year : 2022,
3. BTR Value (USD) : 60,207.19
4. IsActive : true/ceklis</t>
  </si>
  <si>
    <t>1. BTR RU : RU III,
2. BTR Year : 2022,
3. BTR Value (USD) : 60,207.19
4. IsActive : false/tidak di ceklis</t>
  </si>
  <si>
    <t>Menambah data BTR baru dengan field dan data yang valid dan IsActive is false/tidak di ceklis
1. BTR RU
2. BTR Year
3. BTR Value (USD)
4. IsActive</t>
  </si>
  <si>
    <t>1. Klik Add BTR,
2. Pilih BTR RU,
3. Masukkan BTR Year,
4. Masukkan BTR Value (USD),
5. IsActive Tidak Ceklis,
6. Klik "Simpan"</t>
  </si>
  <si>
    <t>1. Klik Add BTR,
2. Pilih BTR RU,
3. Masukkan BTR Year,
4. Masukkan BTR Value (USD),
5. IsActive Ceklis
5. Klik "Simpan"</t>
  </si>
  <si>
    <t>1. BTR RU : RU III,
2. BTR Year : 20222,
3. BTR Value (USD) : 60,207.19</t>
  </si>
  <si>
    <t>Menambah data BTR baru dengan BTR Year diisi kurang dari 4 karakter</t>
  </si>
  <si>
    <t>1. BTR RU : RU III,
2. BTR Year : 202,
3. BTR Value (USD) : 60,207.19</t>
  </si>
  <si>
    <t>Membuat data BTR dengan field dan data yang valid kecuali BTR Year lebih dari 4 karakter
1. BTR RU
2. BTR Year
3. BTR Value (USD)</t>
  </si>
  <si>
    <t>TC110021</t>
  </si>
  <si>
    <t>Menambah data BTR baru dimana hanya mengisi satu dari kolom dengan field
1. BTR RU</t>
  </si>
  <si>
    <t>1. BTR RU : RU III</t>
  </si>
  <si>
    <t>1. Klik Add BTR,
2. Pilih BTR RU3. Klik "Simpan"</t>
  </si>
  <si>
    <t>Menambah data BTR baru dimana hanya mengisi satu dari kolom dengan field
1. BTR Year</t>
  </si>
  <si>
    <t>1. BTR Year : 2022</t>
  </si>
  <si>
    <t>1. Klik Add BTR,
2. Masukkan BTR Year,
3. Klik "Simpan"</t>
  </si>
  <si>
    <t>Memunculkan filed is required</t>
  </si>
  <si>
    <t>TC110022</t>
  </si>
  <si>
    <t>TC110023</t>
  </si>
  <si>
    <t>TC110024</t>
  </si>
  <si>
    <t>TC110025</t>
  </si>
  <si>
    <t>TC110026</t>
  </si>
  <si>
    <t>TC110027</t>
  </si>
  <si>
    <t>TC110028</t>
  </si>
  <si>
    <t>TC110029</t>
  </si>
  <si>
    <t>TC110030</t>
  </si>
  <si>
    <t>TC110031</t>
  </si>
  <si>
    <t>TC110032</t>
  </si>
  <si>
    <t>Menambah data BTR baru dimana hanya mengisi satu dari kolom dengan field
1. BTR Value (USD)</t>
  </si>
  <si>
    <t>1. Klik Add BTR,
2. Masukkan BTR Value (USD),
3. Klik "Simpan"</t>
  </si>
  <si>
    <t>Memunculkan field is required</t>
  </si>
  <si>
    <t>TC110033</t>
  </si>
  <si>
    <t>Menambah data BTR baru dimana hanya mengisi dua dari kolom dengan field
1. BTR RU,
2. BTR Year</t>
  </si>
  <si>
    <t>1. Klik Add BTR,
2. Pilih BTR RU,
3. Masukkan BTR Year,
4. Klik "Simpan"</t>
  </si>
  <si>
    <t>TC110034</t>
  </si>
  <si>
    <t>1. Klik Add BTR,
2. Pilih BTR RU,
3. Masukkan BTR Value (USD),
4. Klik "Simpan"</t>
  </si>
  <si>
    <t>TC110035</t>
  </si>
  <si>
    <t>1. Klik Add BTR,
2. Masukkan BTR Year,
3. Masukkan BTR Value (USD),
4. Klik "Simpan"</t>
  </si>
  <si>
    <t>TC110036</t>
  </si>
  <si>
    <t>Menambah data BTR baru dimana hanya mengisi  dua kolom dengan field
1. BTR RU,
2. BTR Value (USD)</t>
  </si>
  <si>
    <t>Menambah data BTR baru dimana hanya mengisi dua kolom dengan field
1. BTR Year,
2. BTR Value (USD)</t>
  </si>
  <si>
    <t>Menambah data BTR baru dimana BTR Year diisi alfabet dengan field
1. BTR RU,
2. BTR Year,
3. BTR Value (USD)</t>
  </si>
  <si>
    <t>1. BTR Value (USD) : 60,207.19</t>
  </si>
  <si>
    <t>1. BTR RU : RU III,
2. BTR Year : 2022</t>
  </si>
  <si>
    <t>1. BTR RU : RU III,
2. BTR Value (USD) : 60,207.19</t>
  </si>
  <si>
    <t>1. BTR Year : 2022,
2. BTR Value (USD) : 60,207.19</t>
  </si>
  <si>
    <t xml:space="preserve">1. BTR RU : RU III, 
2. BTR Year : 202A,
3. BTR Value (USD) : 60,207.19 </t>
  </si>
  <si>
    <t>TC110037</t>
  </si>
  <si>
    <t>Menambah data BTR baru dimana BTR Year diisi spesial karakter "Space" dengan field
1. BTR RU,
2. BTR Year,
3. BTR Value (USD)</t>
  </si>
  <si>
    <t xml:space="preserve">1. BTR RU : RU III, 
2. BTR Year : 202 ,
3. BTR Value (USD) : 60,207.19 </t>
  </si>
  <si>
    <t>TC110038</t>
  </si>
  <si>
    <t>Menambah data BTR baru dimana BTR Value diisi alfabet dengan field
1. BTR RU,
2. BTR Year,
3. BTR Value (USD)</t>
  </si>
  <si>
    <t xml:space="preserve">1. BTR RU : RU III, 
2. BTR Year : 202 ,
3. BTR Value (USD) : 60,20A.19 </t>
  </si>
  <si>
    <t>TC110039</t>
  </si>
  <si>
    <t>Menambah data BTR baru dimana BTR Value (USD) diisi spesial karakter "Space" dengan field
1. BTR RU,
2. BTR Year,
3. BTR Value (USD)</t>
  </si>
  <si>
    <t xml:space="preserve">1. BTR RU : RU III, 
2. BTR Year : 202 ,
3. BTR Value (USD) : 60,20 .19 </t>
  </si>
  <si>
    <t>TC110049</t>
  </si>
  <si>
    <t>Memilih default row 10 untuk menampilkan baris data di kolom pagination</t>
  </si>
  <si>
    <t>1. Pilih jumlah data yang ingin ditampilkan di kolom pagination</t>
  </si>
  <si>
    <t>Berhasil menampilkan jumlah data yang sesuai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</si>
</sst>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yyyy\-mm\-dd;@"/>
    <numFmt numFmtId="166" formatCode="dd\-mmm\-yyyy\ hh\:mm"/>
  </numFmts>
  <fonts count="19">
    <font>
      <sz val="12"/>
      <color theme="1"/>
      <name val="Calibri"/>
      <family val="2"/>
      <scheme val="minor"/>
    </font>
    <font>
      <u/>
      <sz val="12"/>
      <color theme="10"/>
      <name val="Calibri"/>
      <family val="2"/>
      <scheme val="minor"/>
    </font>
    <font>
      <sz val="10"/>
      <color rgb="FF000000"/>
      <name val="Tahoma"/>
      <family val="2"/>
    </font>
    <font>
      <b/>
      <sz val="10"/>
      <color rgb="FF000000"/>
      <name val="Tahoma"/>
      <family val="2"/>
    </font>
    <font>
      <b/>
      <sz val="13"/>
      <color theme="3"/>
      <name val="ArialMT"/>
      <family val="2"/>
    </font>
    <font>
      <b/>
      <sz val="11"/>
      <color theme="3"/>
      <name val="ArialMT"/>
      <family val="2"/>
    </font>
    <font>
      <sz val="12"/>
      <color theme="1"/>
      <name val="Arial"/>
      <family val="2"/>
    </font>
    <font>
      <sz val="10"/>
      <color theme="2" tint="-0.89999084444715716"/>
      <name val="Arial"/>
      <family val="2"/>
    </font>
    <font>
      <sz val="10"/>
      <color rgb="FF000000"/>
      <name val="Arial"/>
      <family val="2"/>
    </font>
    <font>
      <sz val="10"/>
      <name val="Arial"/>
      <family val="2"/>
    </font>
    <font>
      <b/>
      <sz val="10"/>
      <color theme="0"/>
      <name val="Arial"/>
      <family val="2"/>
    </font>
    <font>
      <sz val="10"/>
      <color theme="1"/>
      <name val="Arial"/>
      <family val="2"/>
    </font>
    <font>
      <u/>
      <sz val="10"/>
      <color theme="10"/>
      <name val="Arial"/>
      <family val="2"/>
    </font>
    <font>
      <sz val="10"/>
      <color theme="1"/>
      <name val="Calibri"/>
      <family val="2"/>
      <scheme val="minor"/>
    </font>
    <font>
      <sz val="10"/>
      <color rgb="FF003300"/>
      <name val="Arial"/>
      <family val="2"/>
    </font>
    <font>
      <b/>
      <sz val="12"/>
      <color theme="0"/>
      <name val="Arial"/>
      <family val="2"/>
    </font>
    <font>
      <sz val="12"/>
      <color theme="8" tint="0.79998168889431442"/>
      <name val="Arial"/>
      <family val="2"/>
    </font>
    <font>
      <b/>
      <sz val="10"/>
      <color theme="0"/>
      <name val="ArialMT"/>
      <family val="2"/>
    </font>
    <font>
      <sz val="10"/>
      <color rgb="FF375623"/>
      <name val="ArialMT"/>
    </font>
  </fonts>
  <fills count="7">
    <fill>
      <patternFill patternType="none"/>
    </fill>
    <fill>
      <patternFill patternType="gray125"/>
    </fill>
    <fill>
      <patternFill patternType="solid">
        <fgColor theme="1"/>
        <bgColor indexed="64"/>
      </patternFill>
    </fill>
    <fill>
      <patternFill patternType="solid">
        <fgColor theme="1"/>
        <bgColor rgb="FFC0C0C0"/>
      </patternFill>
    </fill>
    <fill>
      <patternFill patternType="solid">
        <fgColor theme="4"/>
        <bgColor theme="4"/>
      </patternFill>
    </fill>
    <fill>
      <patternFill patternType="solid">
        <fgColor theme="6" tint="0.79998168889431442"/>
        <bgColor indexed="64"/>
      </patternFill>
    </fill>
    <fill>
      <patternFill patternType="solid">
        <fgColor rgb="FF4472C4"/>
        <bgColor rgb="FFC0C0C0"/>
      </patternFill>
    </fill>
  </fills>
  <borders count="12">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tint="0.499984740745262"/>
      </bottom>
      <diagonal/>
    </border>
    <border>
      <left/>
      <right/>
      <top/>
      <bottom style="medium">
        <color theme="4" tint="0.39997558519241921"/>
      </bottom>
      <diagonal/>
    </border>
    <border>
      <left style="dashed">
        <color indexed="64"/>
      </left>
      <right style="dashed">
        <color indexed="64"/>
      </right>
      <top style="dashed">
        <color indexed="64"/>
      </top>
      <bottom style="dashed">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diagonal/>
    </border>
  </borders>
  <cellStyleXfs count="4">
    <xf numFmtId="0" fontId="0" fillId="0" borderId="0"/>
    <xf numFmtId="0" fontId="1" fillId="0" borderId="0" applyNumberFormat="0" applyFill="0" applyBorder="0" applyAlignment="0" applyProtection="0"/>
    <xf numFmtId="0" fontId="4" fillId="0" borderId="6" applyNumberFormat="0" applyFill="0" applyAlignment="0" applyProtection="0"/>
    <xf numFmtId="0" fontId="5" fillId="0" borderId="7" applyNumberFormat="0" applyFill="0" applyAlignment="0" applyProtection="0"/>
  </cellStyleXfs>
  <cellXfs count="53">
    <xf numFmtId="0" fontId="0" fillId="0" borderId="0" xfId="0"/>
    <xf numFmtId="0" fontId="0" fillId="0" borderId="0" xfId="0" applyAlignment="1">
      <alignment wrapText="1"/>
    </xf>
    <xf numFmtId="0" fontId="0" fillId="0" borderId="0" xfId="0" applyAlignment="1">
      <alignment horizontal="center"/>
    </xf>
    <xf numFmtId="0" fontId="6" fillId="0" borderId="0" xfId="0" applyFont="1"/>
    <xf numFmtId="0" fontId="6" fillId="0" borderId="0" xfId="0" applyNumberFormat="1" applyFont="1"/>
    <xf numFmtId="0" fontId="7" fillId="0" borderId="1" xfId="0" applyFont="1" applyBorder="1" applyAlignment="1">
      <alignment horizontal="left" vertical="top"/>
    </xf>
    <xf numFmtId="0" fontId="7" fillId="0" borderId="1" xfId="0" applyFont="1" applyBorder="1" applyAlignment="1">
      <alignment horizontal="left" vertical="top" wrapText="1"/>
    </xf>
    <xf numFmtId="164" fontId="7" fillId="0" borderId="1" xfId="0" applyNumberFormat="1" applyFont="1" applyBorder="1" applyAlignment="1">
      <alignment horizontal="left" vertical="top"/>
    </xf>
    <xf numFmtId="0" fontId="7" fillId="2" borderId="1" xfId="0" applyFont="1" applyFill="1" applyBorder="1" applyAlignment="1">
      <alignment horizontal="left" vertical="top"/>
    </xf>
    <xf numFmtId="0" fontId="8" fillId="0" borderId="0" xfId="0" applyFont="1"/>
    <xf numFmtId="0" fontId="9" fillId="0" borderId="0" xfId="0" applyFont="1" applyAlignment="1">
      <alignment vertical="top"/>
    </xf>
    <xf numFmtId="0" fontId="11" fillId="0" borderId="0" xfId="0" applyFont="1" applyBorder="1" applyAlignment="1">
      <alignment horizontal="center" vertical="top" wrapText="1"/>
    </xf>
    <xf numFmtId="0" fontId="8" fillId="0" borderId="0" xfId="0" applyFont="1" applyAlignment="1">
      <alignment horizontal="left" vertical="center"/>
    </xf>
    <xf numFmtId="0" fontId="9" fillId="0" borderId="0" xfId="0" applyFont="1" applyAlignment="1">
      <alignment vertical="top" wrapText="1"/>
    </xf>
    <xf numFmtId="0" fontId="12" fillId="0" borderId="0" xfId="1" applyFont="1" applyAlignment="1"/>
    <xf numFmtId="165" fontId="8" fillId="0" borderId="0" xfId="0" applyNumberFormat="1" applyFont="1" applyAlignment="1">
      <alignment horizontal="left" vertical="center"/>
    </xf>
    <xf numFmtId="0" fontId="9" fillId="0" borderId="0" xfId="0" applyFont="1" applyBorder="1" applyAlignment="1">
      <alignment horizontal="center" vertical="top" wrapText="1"/>
    </xf>
    <xf numFmtId="14" fontId="9" fillId="0" borderId="0" xfId="0" applyNumberFormat="1" applyFont="1" applyAlignment="1">
      <alignment vertical="top" wrapText="1"/>
    </xf>
    <xf numFmtId="0" fontId="9" fillId="0" borderId="0" xfId="0" applyFont="1" applyAlignment="1">
      <alignment horizontal="center" vertical="top" wrapText="1"/>
    </xf>
    <xf numFmtId="14" fontId="8" fillId="0" borderId="0" xfId="0" applyNumberFormat="1" applyFont="1" applyAlignment="1">
      <alignment horizontal="left" vertical="center"/>
    </xf>
    <xf numFmtId="0" fontId="8" fillId="0" borderId="0" xfId="0" applyFont="1" applyAlignment="1">
      <alignment horizontal="left" vertical="top"/>
    </xf>
    <xf numFmtId="0" fontId="11" fillId="0" borderId="0" xfId="0" applyFont="1"/>
    <xf numFmtId="0" fontId="13" fillId="0" borderId="0" xfId="0" applyFont="1"/>
    <xf numFmtId="166" fontId="7" fillId="0" borderId="1" xfId="0" applyNumberFormat="1" applyFont="1" applyBorder="1" applyAlignment="1">
      <alignment horizontal="left" vertical="top"/>
    </xf>
    <xf numFmtId="0" fontId="15" fillId="0" borderId="6" xfId="2" applyFont="1" applyAlignment="1">
      <alignment horizontal="center" vertical="center"/>
    </xf>
    <xf numFmtId="0" fontId="15" fillId="0" borderId="6" xfId="2" applyFont="1" applyFill="1" applyAlignment="1">
      <alignment horizontal="center" vertical="center"/>
    </xf>
    <xf numFmtId="0" fontId="6" fillId="0" borderId="0" xfId="0" applyFont="1" applyAlignment="1">
      <alignment horizontal="center" vertical="center"/>
    </xf>
    <xf numFmtId="0" fontId="15" fillId="0" borderId="6" xfId="2" applyFont="1" applyFill="1" applyBorder="1" applyAlignment="1">
      <alignment horizontal="center" vertical="center"/>
    </xf>
    <xf numFmtId="0" fontId="16" fillId="5" borderId="0" xfId="0" applyFont="1" applyFill="1"/>
    <xf numFmtId="0" fontId="16" fillId="0" borderId="0" xfId="0" applyFont="1" applyFill="1"/>
    <xf numFmtId="0" fontId="6" fillId="0" borderId="0" xfId="0" applyFont="1" applyFill="1"/>
    <xf numFmtId="0" fontId="7" fillId="0" borderId="5" xfId="0" applyFont="1" applyBorder="1" applyAlignment="1">
      <alignment horizontal="center" vertical="top"/>
    </xf>
    <xf numFmtId="166" fontId="7" fillId="0" borderId="4" xfId="0" applyNumberFormat="1" applyFont="1" applyBorder="1" applyAlignment="1">
      <alignment horizontal="left" vertical="top"/>
    </xf>
    <xf numFmtId="0" fontId="17" fillId="6" borderId="2" xfId="3" applyFont="1" applyFill="1" applyBorder="1" applyAlignment="1">
      <alignment horizontal="center" vertical="center" wrapText="1"/>
    </xf>
    <xf numFmtId="0" fontId="17" fillId="6" borderId="3" xfId="3" applyFont="1" applyFill="1" applyBorder="1" applyAlignment="1">
      <alignment horizontal="center" vertical="center" wrapText="1"/>
    </xf>
    <xf numFmtId="0" fontId="9" fillId="0" borderId="0" xfId="0" applyFont="1" applyFill="1"/>
    <xf numFmtId="0" fontId="9" fillId="0" borderId="0" xfId="0" applyFont="1" applyFill="1" applyAlignment="1">
      <alignment horizontal="center" vertical="center"/>
    </xf>
    <xf numFmtId="0" fontId="9" fillId="0" borderId="0" xfId="0" applyFont="1" applyFill="1" applyAlignment="1">
      <alignment horizontal="left" vertical="center"/>
    </xf>
    <xf numFmtId="0" fontId="17" fillId="3" borderId="3" xfId="3" applyFont="1" applyFill="1" applyBorder="1" applyAlignment="1">
      <alignment horizontal="center" vertical="center" wrapText="1"/>
    </xf>
    <xf numFmtId="0" fontId="10" fillId="4" borderId="8" xfId="0" applyFont="1" applyFill="1" applyBorder="1" applyAlignment="1">
      <alignment horizontal="center" vertical="center"/>
    </xf>
    <xf numFmtId="0" fontId="6" fillId="0" borderId="8" xfId="0" applyFont="1" applyBorder="1"/>
    <xf numFmtId="0" fontId="8" fillId="0" borderId="8" xfId="0" applyFont="1" applyBorder="1"/>
    <xf numFmtId="0" fontId="9" fillId="0" borderId="0" xfId="0" applyFont="1" applyFill="1" applyAlignment="1">
      <alignment horizontal="left" vertical="center"/>
    </xf>
    <xf numFmtId="0" fontId="7" fillId="2" borderId="1" xfId="0" applyFont="1" applyFill="1" applyBorder="1"/>
    <xf numFmtId="0" fontId="7" fillId="0" borderId="10" xfId="0" applyFont="1" applyBorder="1" applyAlignment="1">
      <alignment horizontal="center" vertical="top"/>
    </xf>
    <xf numFmtId="0" fontId="7" fillId="0" borderId="11" xfId="0" applyFont="1" applyBorder="1" applyAlignment="1">
      <alignment horizontal="left" vertical="top"/>
    </xf>
    <xf numFmtId="0" fontId="7" fillId="2" borderId="11" xfId="0" applyFont="1" applyFill="1" applyBorder="1"/>
    <xf numFmtId="0" fontId="7" fillId="0" borderId="11" xfId="0" applyFont="1" applyBorder="1" applyAlignment="1">
      <alignment horizontal="left" vertical="top" wrapText="1"/>
    </xf>
    <xf numFmtId="164" fontId="7" fillId="0" borderId="11" xfId="0" applyNumberFormat="1" applyFont="1" applyBorder="1" applyAlignment="1">
      <alignment horizontal="left" vertical="top"/>
    </xf>
    <xf numFmtId="166" fontId="7" fillId="0" borderId="11" xfId="0" applyNumberFormat="1" applyFont="1" applyBorder="1" applyAlignment="1">
      <alignment horizontal="left" vertical="top"/>
    </xf>
    <xf numFmtId="166" fontId="7" fillId="0" borderId="9" xfId="0" applyNumberFormat="1" applyFont="1" applyBorder="1" applyAlignment="1">
      <alignment horizontal="left" vertical="top"/>
    </xf>
    <xf numFmtId="0" fontId="7" fillId="0" borderId="11" xfId="0" applyFont="1" applyBorder="1" applyAlignment="1">
      <alignment wrapText="1"/>
    </xf>
    <xf numFmtId="0" fontId="7" fillId="0" borderId="1" xfId="0" applyFont="1" applyBorder="1" applyAlignment="1">
      <alignment wrapText="1"/>
    </xf>
  </cellXfs>
  <cellStyles count="4">
    <cellStyle name="Heading 2" xfId="2" builtinId="17"/>
    <cellStyle name="Heading 3" xfId="3" builtinId="18"/>
    <cellStyle name="Hyperlink" xfId="1" builtinId="8"/>
    <cellStyle name="Normal" xfId="0" builtinId="0"/>
  </cellStyles>
  <dxfs count="48">
    <dxf>
      <font>
        <color theme="1"/>
      </font>
      <fill>
        <patternFill>
          <bgColor theme="9" tint="0.79998168889431442"/>
        </patternFill>
      </fill>
    </dxf>
    <dxf>
      <font>
        <color theme="1"/>
      </font>
      <fill>
        <patternFill>
          <bgColor theme="5" tint="0.79998168889431442"/>
        </patternFill>
      </fill>
    </dxf>
    <dxf>
      <font>
        <color theme="2" tint="-0.89996032593768116"/>
      </font>
      <fill>
        <patternFill>
          <fgColor auto="1"/>
          <bgColor theme="0" tint="-4.9989318521683403E-2"/>
        </patternFill>
      </fill>
    </dxf>
    <dxf>
      <font>
        <color theme="2" tint="-0.89996032593768116"/>
      </font>
      <fill>
        <patternFill>
          <fgColor auto="1"/>
          <bgColor theme="3" tint="0.79998168889431442"/>
        </patternFill>
      </fill>
    </dxf>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left style="thin">
          <color indexed="64"/>
        </left>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6" formatCode="dd\-mmm\-yyyy\ hh\:mm"/>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numFmt numFmtId="164" formatCode="yyyy\-mm\-dd"/>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fill>
        <patternFill patternType="solid">
          <fgColor indexed="64"/>
          <bgColor theme="1"/>
        </patternFill>
      </fill>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outline val="0"/>
        <shadow val="0"/>
        <u val="none"/>
        <vertAlign val="baseline"/>
        <sz val="10"/>
        <color theme="2" tint="-0.89999084444715716"/>
        <name val="Arial"/>
        <family val="2"/>
        <scheme val="none"/>
      </font>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border diagonalUp="0" diagonalDown="0">
        <left style="thin">
          <color indexed="64"/>
        </left>
        <right style="thin">
          <color indexed="64"/>
        </right>
        <top style="thin">
          <color indexed="64"/>
        </top>
        <bottom style="thin">
          <color indexed="64"/>
        </bottom>
        <vertical style="thin">
          <color indexed="64"/>
        </vertical>
        <horizontal style="thin">
          <color indexed="64"/>
        </horizontal>
      </border>
    </dxf>
    <dxf>
      <font>
        <b val="0"/>
        <i val="0"/>
        <strike val="0"/>
        <condense val="0"/>
        <extend val="0"/>
        <outline val="0"/>
        <shadow val="0"/>
        <u val="none"/>
        <vertAlign val="baseline"/>
        <sz val="10"/>
        <color theme="2" tint="-0.89999084444715716"/>
        <name val="Arial"/>
        <family val="2"/>
        <scheme val="none"/>
      </font>
      <alignment horizontal="center" vertical="top" textRotation="0" wrapText="0" indent="0" justifyLastLine="0" shrinkToFit="0" readingOrder="0"/>
      <border diagonalUp="0" diagonalDown="0">
        <left/>
        <right style="thin">
          <color indexed="64"/>
        </right>
        <top style="thin">
          <color indexed="64"/>
        </top>
        <bottom style="thin">
          <color indexed="64"/>
        </bottom>
        <vertical style="thin">
          <color indexed="64"/>
        </vertical>
        <horizontal style="thin">
          <color indexed="64"/>
        </horizontal>
      </border>
    </dxf>
    <dxf>
      <border>
        <top style="thin">
          <color indexed="64"/>
        </top>
      </border>
    </dxf>
    <dxf>
      <border diagonalUp="0" diagonalDown="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0"/>
        <color theme="2" tint="-0.89999084444715716"/>
        <name val="Arial"/>
        <family val="2"/>
        <scheme val="none"/>
      </font>
      <alignment horizontal="left" vertical="top" textRotation="0" wrapText="0" indent="0" justifyLastLine="0" shrinkToFit="0" readingOrder="0"/>
    </dxf>
    <dxf>
      <border>
        <bottom style="thin">
          <color indexed="64"/>
        </bottom>
      </border>
    </dxf>
    <dxf>
      <font>
        <strike val="0"/>
        <outline val="0"/>
        <shadow val="0"/>
        <u val="none"/>
        <vertAlign val="baseline"/>
        <sz val="10"/>
        <color theme="3"/>
        <name val="ArialMT"/>
        <family val="2"/>
        <scheme val="none"/>
      </font>
      <fill>
        <patternFill patternType="solid">
          <fgColor rgb="FFC0C0C0"/>
          <bgColor theme="8" tint="0.39997558519241921"/>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border outline="0">
        <bottom style="thick">
          <color theme="4" tint="0.499984740745262"/>
        </bottom>
      </border>
    </dxf>
    <dxf>
      <font>
        <b/>
        <i val="0"/>
        <strike val="0"/>
        <condense val="0"/>
        <extend val="0"/>
        <outline val="0"/>
        <shadow val="0"/>
        <u val="none"/>
        <vertAlign val="baseline"/>
        <sz val="12"/>
        <color theme="0"/>
        <name val="Arial"/>
        <family val="2"/>
        <scheme val="none"/>
      </font>
      <alignment horizontal="center" vertical="center" textRotation="0" wrapText="0" indent="0" justifyLastLine="0" shrinkToFit="0" readingOrder="0"/>
    </dxf>
    <dxf>
      <font>
        <b val="0"/>
        <i val="0"/>
        <strike val="0"/>
        <condense val="0"/>
        <extend val="0"/>
        <outline val="0"/>
        <shadow val="0"/>
        <u val="none"/>
        <vertAlign val="baseline"/>
        <sz val="12"/>
        <color theme="1"/>
        <name val="Arial"/>
        <family val="2"/>
        <scheme val="none"/>
      </font>
      <numFmt numFmtId="0" formatCode="General"/>
    </dxf>
    <dxf>
      <font>
        <b val="0"/>
        <i val="0"/>
        <strike val="0"/>
        <condense val="0"/>
        <extend val="0"/>
        <outline val="0"/>
        <shadow val="0"/>
        <u val="none"/>
        <vertAlign val="baseline"/>
        <sz val="12"/>
        <color theme="1"/>
        <name val="Arial"/>
        <family val="2"/>
        <scheme val="none"/>
      </font>
    </dxf>
    <dxf>
      <font>
        <b val="0"/>
        <i val="0"/>
        <strike val="0"/>
        <condense val="0"/>
        <extend val="0"/>
        <outline val="0"/>
        <shadow val="0"/>
        <u val="none"/>
        <vertAlign val="baseline"/>
        <sz val="12"/>
        <color theme="1"/>
        <name val="Arial"/>
        <family val="2"/>
        <scheme val="none"/>
      </font>
    </dxf>
    <dxf>
      <font>
        <strike val="0"/>
        <outline val="0"/>
        <shadow val="0"/>
        <u val="none"/>
        <vertAlign val="baseline"/>
        <sz val="12"/>
        <color theme="0"/>
        <name val="Arial"/>
        <family val="2"/>
        <scheme val="none"/>
      </font>
      <alignment horizontal="center" vertical="center" textRotation="0" wrapText="0" indent="0" justifyLastLine="0" shrinkToFit="0" readingOrder="0"/>
    </dxf>
  </dxfs>
  <tableStyles count="0" defaultTableStyle="TableStyleMedium2" defaultPivotStyle="PivotStyleLight16"/>
  <colors>
    <mruColors>
      <color rgb="FF5A9CD7"/>
      <color rgb="FF4472C4"/>
      <color rgb="FF7880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TIPE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tx>
            <c:strRef>
              <c:f>Dashboard!$F$33</c:f>
              <c:strCache>
                <c:ptCount val="1"/>
                <c:pt idx="0">
                  <c:v>TOTAL</c:v>
                </c:pt>
              </c:strCache>
            </c:strRef>
          </c:tx>
          <c:dPt>
            <c:idx val="0"/>
            <c:bubble3D val="0"/>
            <c:spPr>
              <a:gradFill rotWithShape="1">
                <a:gsLst>
                  <a:gs pos="0">
                    <a:schemeClr val="accent6">
                      <a:satMod val="103000"/>
                      <a:lumMod val="102000"/>
                      <a:tint val="94000"/>
                    </a:schemeClr>
                  </a:gs>
                  <a:gs pos="50000">
                    <a:schemeClr val="accent6">
                      <a:satMod val="110000"/>
                      <a:lumMod val="100000"/>
                      <a:shade val="100000"/>
                    </a:schemeClr>
                  </a:gs>
                  <a:gs pos="100000">
                    <a:schemeClr val="accent6">
                      <a:lumMod val="99000"/>
                      <a:satMod val="120000"/>
                      <a:shade val="78000"/>
                    </a:schemeClr>
                  </a:gs>
                </a:gsLst>
                <a:lin ang="5400000" scaled="0"/>
              </a:gradFill>
              <a:ln>
                <a:noFill/>
              </a:ln>
              <a:effectLst>
                <a:outerShdw blurRad="57150" dist="19050" dir="5400000" algn="ctr" rotWithShape="0">
                  <a:srgbClr val="000000">
                    <a:alpha val="63000"/>
                  </a:srgbClr>
                </a:outerShdw>
              </a:effectLst>
              <a:sp3d/>
            </c:spPr>
            <c:extLst>
              <c:ext xmlns:c16="http://schemas.microsoft.com/office/drawing/2014/chart" uri="{C3380CC4-5D6E-409C-BE32-E72D297353CC}">
                <c16:uniqueId val="{00000001-DCC8-6849-80DE-A1B7789B5950}"/>
              </c:ext>
            </c:extLst>
          </c:dPt>
          <c:dPt>
            <c:idx val="1"/>
            <c:bubble3D val="0"/>
            <c:spPr>
              <a:solidFill>
                <a:schemeClr val="accent2"/>
              </a:solidFill>
              <a:ln w="6350" cap="flat" cmpd="sng" algn="ctr">
                <a:solidFill>
                  <a:schemeClr val="accent2"/>
                </a:solidFill>
                <a:prstDash val="solid"/>
                <a:miter lim="800000"/>
              </a:ln>
              <a:effectLst/>
              <a:sp3d contourW="6350">
                <a:contourClr>
                  <a:schemeClr val="accent2"/>
                </a:contourClr>
              </a:sp3d>
            </c:spPr>
            <c:extLst>
              <c:ext xmlns:c16="http://schemas.microsoft.com/office/drawing/2014/chart" uri="{C3380CC4-5D6E-409C-BE32-E72D297353CC}">
                <c16:uniqueId val="{00000002-DCC8-6849-80DE-A1B7789B5950}"/>
              </c:ext>
            </c:extLst>
          </c:dPt>
          <c:dLbls>
            <c:dLbl>
              <c:idx val="0"/>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1-DCC8-6849-80DE-A1B7789B5950}"/>
                </c:ext>
              </c:extLst>
            </c:dLbl>
            <c:dLbl>
              <c:idx val="1"/>
              <c:dLblPos val="ctr"/>
              <c:showLegendKey val="0"/>
              <c:showVal val="1"/>
              <c:showCatName val="1"/>
              <c:showSerName val="0"/>
              <c:showPercent val="0"/>
              <c:showBubbleSize val="0"/>
              <c:separator>
</c:separator>
              <c:extLst>
                <c:ext xmlns:c15="http://schemas.microsoft.com/office/drawing/2012/chart" uri="{CE6537A1-D6FC-4f65-9D91-7224C49458BB}"/>
                <c:ext xmlns:c16="http://schemas.microsoft.com/office/drawing/2014/chart" uri="{C3380CC4-5D6E-409C-BE32-E72D297353CC}">
                  <c16:uniqueId val="{00000002-DCC8-6849-80DE-A1B7789B5950}"/>
                </c:ext>
              </c:extLst>
            </c:dLbl>
            <c:spPr>
              <a:noFill/>
              <a:ln>
                <a:noFill/>
              </a:ln>
              <a:effectLst/>
            </c:spPr>
            <c:txPr>
              <a:bodyPr rot="0" spcFirstLastPara="1" vertOverflow="ellipsis" vert="horz" wrap="square" lIns="38100" tIns="19050" rIns="38100" bIns="19050" anchor="ctr" anchorCtr="1">
                <a:spAutoFit/>
              </a:bodyPr>
              <a:lstStyle/>
              <a:p>
                <a:pPr>
                  <a:defRPr sz="105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Dashboard!$E$34:$E$35</c:f>
              <c:strCache>
                <c:ptCount val="2"/>
                <c:pt idx="0">
                  <c:v>Positive</c:v>
                </c:pt>
                <c:pt idx="1">
                  <c:v>Negative</c:v>
                </c:pt>
              </c:strCache>
            </c:strRef>
          </c:cat>
          <c:val>
            <c:numRef>
              <c:f>Dashboard!$F$34:$F$35</c:f>
              <c:numCache>
                <c:formatCode>General</c:formatCode>
                <c:ptCount val="2"/>
                <c:pt idx="0">
                  <c:v>25</c:v>
                </c:pt>
                <c:pt idx="1">
                  <c:v>15</c:v>
                </c:pt>
              </c:numCache>
            </c:numRef>
          </c:val>
          <c:extLst>
            <c:ext xmlns:c16="http://schemas.microsoft.com/office/drawing/2014/chart" uri="{C3380CC4-5D6E-409C-BE32-E72D297353CC}">
              <c16:uniqueId val="{00000000-A6C9-BE4A-A260-6D5123F979C2}"/>
            </c:ext>
          </c:extLst>
        </c:ser>
        <c:dLbls>
          <c:dLblPos val="ctr"/>
          <c:showLegendKey val="0"/>
          <c:showVal val="0"/>
          <c:showCatName val="0"/>
          <c:showSerName val="0"/>
          <c:showPercent val="1"/>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STATUS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Dashboard!$I$33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Pt>
            <c:idx val="0"/>
            <c:invertIfNegative val="0"/>
            <c:bubble3D val="0"/>
            <c:spPr>
              <a:solidFill>
                <a:schemeClr val="accent6">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3-67C8-A14F-855C-C412C029BCD9}"/>
              </c:ext>
            </c:extLst>
          </c:dPt>
          <c:dPt>
            <c:idx val="1"/>
            <c:invertIfNegative val="0"/>
            <c:bubble3D val="0"/>
            <c:spPr>
              <a:solidFill>
                <a:schemeClr val="accent2">
                  <a:lumMod val="60000"/>
                  <a:lumOff val="4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1-67C8-A14F-855C-C412C029BCD9}"/>
              </c:ext>
            </c:extLst>
          </c:dPt>
          <c:dPt>
            <c:idx val="2"/>
            <c:invertIfNegative val="0"/>
            <c:bubble3D val="0"/>
            <c:spPr>
              <a:solidFill>
                <a:schemeClr val="bg2">
                  <a:lumMod val="75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4-67C8-A14F-855C-C412C029BCD9}"/>
              </c:ext>
            </c:extLst>
          </c:dPt>
          <c:dPt>
            <c:idx val="3"/>
            <c:invertIfNegative val="0"/>
            <c:bubble3D val="0"/>
            <c:spPr>
              <a:solidFill>
                <a:schemeClr val="bg1">
                  <a:lumMod val="50000"/>
                </a:schemeClr>
              </a:solidFill>
              <a:ln>
                <a:noFill/>
              </a:ln>
              <a:effectLst>
                <a:outerShdw blurRad="57150" dist="19050" dir="5400000" algn="ctr" rotWithShape="0">
                  <a:srgbClr val="000000">
                    <a:alpha val="63000"/>
                  </a:srgbClr>
                </a:outerShdw>
              </a:effectLst>
            </c:spPr>
            <c:extLst>
              <c:ext xmlns:c16="http://schemas.microsoft.com/office/drawing/2014/chart" uri="{C3380CC4-5D6E-409C-BE32-E72D297353CC}">
                <c16:uniqueId val="{00000002-67C8-A14F-855C-C412C029BCD9}"/>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Dashboard!$H$34:$H$37</c:f>
              <c:strCache>
                <c:ptCount val="4"/>
                <c:pt idx="0">
                  <c:v>Passed</c:v>
                </c:pt>
                <c:pt idx="1">
                  <c:v>Failed</c:v>
                </c:pt>
                <c:pt idx="2">
                  <c:v>Not Executed</c:v>
                </c:pt>
                <c:pt idx="3">
                  <c:v>Not Ready</c:v>
                </c:pt>
              </c:strCache>
            </c:strRef>
          </c:cat>
          <c:val>
            <c:numRef>
              <c:f>Dashboard!$I$34:$I$37</c:f>
              <c:numCache>
                <c:formatCode>General</c:formatCode>
                <c:ptCount val="4"/>
                <c:pt idx="0">
                  <c:v>0</c:v>
                </c:pt>
                <c:pt idx="1">
                  <c:v>0</c:v>
                </c:pt>
                <c:pt idx="2">
                  <c:v>0</c:v>
                </c:pt>
                <c:pt idx="3">
                  <c:v>40</c:v>
                </c:pt>
              </c:numCache>
            </c:numRef>
          </c:val>
          <c:extLst>
            <c:ext xmlns:c16="http://schemas.microsoft.com/office/drawing/2014/chart" uri="{C3380CC4-5D6E-409C-BE32-E72D297353CC}">
              <c16:uniqueId val="{00000000-6E03-2744-B6DC-69967B61BB88}"/>
            </c:ext>
          </c:extLst>
        </c:ser>
        <c:dLbls>
          <c:dLblPos val="inEnd"/>
          <c:showLegendKey val="0"/>
          <c:showVal val="1"/>
          <c:showCatName val="0"/>
          <c:showSerName val="0"/>
          <c:showPercent val="0"/>
          <c:showBubbleSize val="0"/>
        </c:dLbls>
        <c:gapWidth val="115"/>
        <c:overlap val="-20"/>
        <c:axId val="1945856896"/>
        <c:axId val="1945858544"/>
      </c:barChart>
      <c:catAx>
        <c:axId val="1945856896"/>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8544"/>
        <c:crosses val="autoZero"/>
        <c:auto val="1"/>
        <c:lblAlgn val="ctr"/>
        <c:lblOffset val="100"/>
        <c:noMultiLvlLbl val="0"/>
      </c:catAx>
      <c:valAx>
        <c:axId val="1945858544"/>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5856896"/>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HALAMAN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Dashboard!$C$33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Dashboard!$B$34</c:f>
              <c:strCache>
                <c:ptCount val="1"/>
                <c:pt idx="0">
                  <c:v>1.1. Master Data BTR</c:v>
                </c:pt>
              </c:strCache>
            </c:strRef>
          </c:cat>
          <c:val>
            <c:numRef>
              <c:f>Dashboard!$C$34</c:f>
              <c:numCache>
                <c:formatCode>General</c:formatCode>
                <c:ptCount val="1"/>
                <c:pt idx="0">
                  <c:v>0</c:v>
                </c:pt>
              </c:numCache>
            </c:numRef>
          </c:val>
          <c:extLst>
            <c:ext xmlns:c16="http://schemas.microsoft.com/office/drawing/2014/chart" uri="{C3380CC4-5D6E-409C-BE32-E72D297353CC}">
              <c16:uniqueId val="{00000000-E63F-8B40-86A7-70943F4A7AE8}"/>
            </c:ext>
          </c:extLst>
        </c:ser>
        <c:dLbls>
          <c:dLblPos val="inEnd"/>
          <c:showLegendKey val="0"/>
          <c:showVal val="1"/>
          <c:showCatName val="0"/>
          <c:showSerName val="0"/>
          <c:showPercent val="0"/>
          <c:showBubbleSize val="0"/>
        </c:dLbls>
        <c:gapWidth val="115"/>
        <c:overlap val="-20"/>
        <c:axId val="1941576928"/>
        <c:axId val="1958194400"/>
      </c:barChart>
      <c:catAx>
        <c:axId val="1941576928"/>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58194400"/>
        <c:crosses val="autoZero"/>
        <c:auto val="1"/>
        <c:lblAlgn val="ctr"/>
        <c:lblOffset val="100"/>
        <c:noMultiLvlLbl val="0"/>
      </c:catAx>
      <c:valAx>
        <c:axId val="1958194400"/>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1576928"/>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3"/>
    </mc:Choice>
    <mc:Fallback>
      <c:style val="3"/>
    </mc:Fallback>
  </mc:AlternateContent>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BERDASARKAN PRIORITAS PENGUJIAN</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lotArea>
      <c:layout/>
      <c:barChart>
        <c:barDir val="bar"/>
        <c:grouping val="clustered"/>
        <c:varyColors val="0"/>
        <c:ser>
          <c:idx val="0"/>
          <c:order val="0"/>
          <c:tx>
            <c:strRef>
              <c:f>Dashboard!$L$33</c:f>
              <c:strCache>
                <c:ptCount val="1"/>
                <c:pt idx="0">
                  <c:v>TOTAL</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Dashboard!$K$34:$K$37</c:f>
              <c:strCache>
                <c:ptCount val="4"/>
                <c:pt idx="0">
                  <c:v>Urgent</c:v>
                </c:pt>
                <c:pt idx="1">
                  <c:v>High</c:v>
                </c:pt>
                <c:pt idx="2">
                  <c:v>Medium</c:v>
                </c:pt>
                <c:pt idx="3">
                  <c:v>Low</c:v>
                </c:pt>
              </c:strCache>
            </c:strRef>
          </c:cat>
          <c:val>
            <c:numRef>
              <c:f>Dashboard!$L$34:$L$37</c:f>
              <c:numCache>
                <c:formatCode>General</c:formatCode>
                <c:ptCount val="4"/>
                <c:pt idx="0">
                  <c:v>0</c:v>
                </c:pt>
                <c:pt idx="1">
                  <c:v>0</c:v>
                </c:pt>
                <c:pt idx="2">
                  <c:v>34</c:v>
                </c:pt>
                <c:pt idx="3">
                  <c:v>0</c:v>
                </c:pt>
              </c:numCache>
            </c:numRef>
          </c:val>
          <c:extLst>
            <c:ext xmlns:c16="http://schemas.microsoft.com/office/drawing/2014/chart" uri="{C3380CC4-5D6E-409C-BE32-E72D297353CC}">
              <c16:uniqueId val="{00000000-7ADE-4D43-B762-34DFCE63C1CA}"/>
            </c:ext>
          </c:extLst>
        </c:ser>
        <c:dLbls>
          <c:dLblPos val="inEnd"/>
          <c:showLegendKey val="0"/>
          <c:showVal val="1"/>
          <c:showCatName val="0"/>
          <c:showSerName val="0"/>
          <c:showPercent val="0"/>
          <c:showBubbleSize val="0"/>
        </c:dLbls>
        <c:gapWidth val="115"/>
        <c:overlap val="-20"/>
        <c:axId val="2007084304"/>
        <c:axId val="2007085952"/>
      </c:barChart>
      <c:catAx>
        <c:axId val="2007084304"/>
        <c:scaling>
          <c:orientation val="minMax"/>
        </c:scaling>
        <c:delete val="0"/>
        <c:axPos val="l"/>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5952"/>
        <c:crosses val="autoZero"/>
        <c:auto val="1"/>
        <c:lblAlgn val="ctr"/>
        <c:lblOffset val="100"/>
        <c:noMultiLvlLbl val="0"/>
      </c:catAx>
      <c:valAx>
        <c:axId val="2007085952"/>
        <c:scaling>
          <c:orientation val="minMax"/>
        </c:scaling>
        <c:delete val="0"/>
        <c:axPos val="b"/>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07084304"/>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10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withinLinear" id="14">
  <a:schemeClr val="accent1"/>
</cs:colorStyle>
</file>

<file path=xl/charts/colors4.xml><?xml version="1.0" encoding="utf-8"?>
<cs:colorStyle xmlns:cs="http://schemas.microsoft.com/office/drawing/2012/chartStyle" xmlns:a="http://schemas.openxmlformats.org/drawingml/2006/main" meth="withinLinear" id="14">
  <a:schemeClr val="accent1"/>
</cs:colorStyle>
</file>

<file path=xl/charts/style1.xml><?xml version="1.0" encoding="utf-8"?>
<cs:chartStyle xmlns:cs="http://schemas.microsoft.com/office/drawing/2012/chartStyle" xmlns:a="http://schemas.openxmlformats.org/drawingml/2006/main" id="26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2.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4.xml><?xml version="1.0" encoding="utf-8"?>
<cs:chartStyle xmlns:cs="http://schemas.microsoft.com/office/drawing/2012/chartStyle" xmlns:a="http://schemas.openxmlformats.org/drawingml/2006/main" id="222">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ize="5"/>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6</xdr:col>
      <xdr:colOff>387350</xdr:colOff>
      <xdr:row>0</xdr:row>
      <xdr:rowOff>59690</xdr:rowOff>
    </xdr:from>
    <xdr:to>
      <xdr:col>10</xdr:col>
      <xdr:colOff>330200</xdr:colOff>
      <xdr:row>31</xdr:row>
      <xdr:rowOff>13970</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10</xdr:col>
      <xdr:colOff>393699</xdr:colOff>
      <xdr:row>16</xdr:row>
      <xdr:rowOff>34159</xdr:rowOff>
    </xdr:from>
    <xdr:to>
      <xdr:col>15</xdr:col>
      <xdr:colOff>30479</xdr:colOff>
      <xdr:row>31</xdr:row>
      <xdr:rowOff>3679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50800</xdr:colOff>
      <xdr:row>0</xdr:row>
      <xdr:rowOff>57150</xdr:rowOff>
    </xdr:from>
    <xdr:to>
      <xdr:col>6</xdr:col>
      <xdr:colOff>330200</xdr:colOff>
      <xdr:row>31</xdr:row>
      <xdr:rowOff>11430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10</xdr:col>
      <xdr:colOff>392914</xdr:colOff>
      <xdr:row>0</xdr:row>
      <xdr:rowOff>64998</xdr:rowOff>
    </xdr:from>
    <xdr:to>
      <xdr:col>15</xdr:col>
      <xdr:colOff>29694</xdr:colOff>
      <xdr:row>15</xdr:row>
      <xdr:rowOff>161518</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0</xdr:col>
      <xdr:colOff>190619</xdr:colOff>
      <xdr:row>0</xdr:row>
      <xdr:rowOff>63500</xdr:rowOff>
    </xdr:from>
    <xdr:to>
      <xdr:col>4</xdr:col>
      <xdr:colOff>317500</xdr:colOff>
      <xdr:row>4</xdr:row>
      <xdr:rowOff>127000</xdr:rowOff>
    </xdr:to>
    <xdr:sp macro="" textlink="">
      <xdr:nvSpPr>
        <xdr:cNvPr id="2" name="Rectangle 1">
          <a:extLst>
            <a:ext uri="{FF2B5EF4-FFF2-40B4-BE49-F238E27FC236}">
              <a16:creationId xmlns:a16="http://schemas.microsoft.com/office/drawing/2014/main" id="{00000000-0008-0000-0100-000002000000}"/>
            </a:ext>
          </a:extLst>
        </xdr:cNvPr>
        <xdr:cNvSpPr/>
      </xdr:nvSpPr>
      <xdr:spPr>
        <a:xfrm>
          <a:off x="190619" y="63500"/>
          <a:ext cx="4152781" cy="825500"/>
        </a:xfrm>
        <a:prstGeom prst="rect">
          <a:avLst/>
        </a:prstGeom>
        <a:solidFill>
          <a:schemeClr val="bg1"/>
        </a:solidFill>
        <a:ln>
          <a:solidFill>
            <a:schemeClr val="bg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lIns="72000" tIns="0" rIns="72000" bIns="36000" rtlCol="0" anchor="t"/>
        <a:lstStyle/>
        <a:p>
          <a:pPr algn="l"/>
          <a:endParaRPr lang="en-US" sz="1000" b="1">
            <a:solidFill>
              <a:schemeClr val="bg2">
                <a:lumMod val="25000"/>
              </a:schemeClr>
            </a:solidFill>
            <a:latin typeface="Arial" panose="020B0604020202020204" pitchFamily="34" charset="0"/>
            <a:cs typeface="Arial" panose="020B0604020202020204" pitchFamily="34" charset="0"/>
          </a:endParaRPr>
        </a:p>
        <a:p>
          <a:pPr algn="l" defTabSz="640080"/>
          <a:r>
            <a:rPr lang="en-US" sz="1100" b="1">
              <a:solidFill>
                <a:schemeClr val="bg2">
                  <a:lumMod val="25000"/>
                </a:schemeClr>
              </a:solidFill>
              <a:latin typeface="Arial" panose="020B0604020202020204" pitchFamily="34" charset="0"/>
              <a:cs typeface="Arial" panose="020B0604020202020204" pitchFamily="34" charset="0"/>
            </a:rPr>
            <a:t>Project Name	:</a:t>
          </a:r>
          <a:r>
            <a:rPr lang="en-US" sz="1100" b="1" baseline="0">
              <a:solidFill>
                <a:schemeClr val="bg2">
                  <a:lumMod val="25000"/>
                </a:schemeClr>
              </a:solidFill>
              <a:latin typeface="Arial" panose="020B0604020202020204" pitchFamily="34" charset="0"/>
              <a:cs typeface="Arial" panose="020B0604020202020204" pitchFamily="34" charset="0"/>
            </a:rPr>
            <a:t> </a:t>
          </a:r>
          <a:r>
            <a:rPr lang="en-US" sz="1100" b="1" i="0" u="none" baseline="0">
              <a:solidFill>
                <a:schemeClr val="bg2">
                  <a:lumMod val="25000"/>
                </a:schemeClr>
              </a:solidFill>
              <a:latin typeface="Arial" panose="020B0604020202020204" pitchFamily="34" charset="0"/>
              <a:cs typeface="Arial" panose="020B0604020202020204" pitchFamily="34" charset="0"/>
            </a:rPr>
            <a:t>Master Data BTR</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Base URL	: gaada</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start date	: 01 April 2022</a:t>
          </a:r>
        </a:p>
        <a:p>
          <a:pPr algn="l" defTabSz="640080"/>
          <a:r>
            <a:rPr lang="en-US" sz="1100" b="1" baseline="0">
              <a:solidFill>
                <a:schemeClr val="bg2">
                  <a:lumMod val="25000"/>
                </a:schemeClr>
              </a:solidFill>
              <a:latin typeface="Arial" panose="020B0604020202020204" pitchFamily="34" charset="0"/>
              <a:cs typeface="Arial" panose="020B0604020202020204" pitchFamily="34" charset="0"/>
            </a:rPr>
            <a:t>Test end date	: 01 April 2022</a:t>
          </a:r>
          <a:endParaRPr lang="en-US" sz="1100" b="1">
            <a:solidFill>
              <a:schemeClr val="bg2">
                <a:lumMod val="25000"/>
              </a:schemeClr>
            </a:solidFill>
            <a:latin typeface="Arial" panose="020B0604020202020204" pitchFamily="34" charset="0"/>
            <a:cs typeface="Arial" panose="020B0604020202020204" pitchFamily="34" charset="0"/>
          </a:endParaRPr>
        </a:p>
      </xdr:txBody>
    </xdr:sp>
    <xdr:clientData/>
  </xdr:twoCellAnchor>
  <mc:AlternateContent xmlns:mc="http://schemas.openxmlformats.org/markup-compatibility/2006">
    <mc:Choice xmlns:a14="http://schemas.microsoft.com/office/drawing/2010/main" Requires="a14">
      <xdr:twoCellAnchor>
        <xdr:from>
          <xdr:col>0</xdr:col>
          <xdr:colOff>76200</xdr:colOff>
          <xdr:row>6</xdr:row>
          <xdr:rowOff>0</xdr:rowOff>
        </xdr:from>
        <xdr:to>
          <xdr:col>1</xdr:col>
          <xdr:colOff>853440</xdr:colOff>
          <xdr:row>6</xdr:row>
          <xdr:rowOff>190500</xdr:rowOff>
        </xdr:to>
        <xdr:sp macro="" textlink="">
          <xdr:nvSpPr>
            <xdr:cNvPr id="1033" name="Button 9"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003300"/>
                  </a:solidFill>
                  <a:latin typeface="Arial"/>
                  <a:cs typeface="Arial"/>
                </a:rPr>
                <a:t>Add Test Case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929640</xdr:colOff>
          <xdr:row>6</xdr:row>
          <xdr:rowOff>0</xdr:rowOff>
        </xdr:from>
        <xdr:to>
          <xdr:col>1</xdr:col>
          <xdr:colOff>2156460</xdr:colOff>
          <xdr:row>6</xdr:row>
          <xdr:rowOff>190500</xdr:rowOff>
        </xdr:to>
        <xdr:sp macro="" textlink="">
          <xdr:nvSpPr>
            <xdr:cNvPr id="1055" name="Button 31" hidden="1">
              <a:extLst>
                <a:ext uri="{63B3BB69-23CF-44E3-9099-C40C66FF867C}">
                  <a14:compatExt spid="_x0000_s1055"/>
                </a:ext>
                <a:ext uri="{FF2B5EF4-FFF2-40B4-BE49-F238E27FC236}">
                  <a16:creationId xmlns:a16="http://schemas.microsoft.com/office/drawing/2014/main" id="{00000000-0008-0000-0100-00001F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US" sz="1000" b="0" i="0" u="none" strike="noStrike" baseline="0">
                  <a:solidFill>
                    <a:srgbClr val="375623"/>
                  </a:solidFill>
                  <a:latin typeface="ArialMT"/>
                </a:rPr>
                <a:t>Delete Last Record</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9B49D68-9E8A-D34A-B9C6-E6ABF7ECF4E2}" name="TableStatus" displayName="TableStatus" ref="H33:I37" totalsRowShown="0" headerRowDxfId="47" dataDxfId="46" headerRowCellStyle="Heading 2">
  <autoFilter ref="H33:I37" xr:uid="{39B49D68-9E8A-D34A-B9C6-E6ABF7ECF4E2}"/>
  <tableColumns count="2">
    <tableColumn id="1" xr3:uid="{567DBF3E-6AAB-F44B-A620-2B81C9A6B114}" name="STATUS" dataDxfId="45"/>
    <tableColumn id="2" xr3:uid="{00650F91-5404-F04C-9013-56844C846874}" name="TOTAL" dataDxfId="44">
      <calculatedColumnFormula>COUNTIF(Table_test_case[STATUS],TableStatus[[#This Row],[STATUS]])</calculatedColumnFormula>
    </tableColumn>
  </tableColumns>
  <tableStyleInfo name="TableStyleMedium6"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7F708E7-6029-1341-8251-DF3DDDFF7B00}" name="TablePic" displayName="TablePic" ref="N33:O40" totalsRowShown="0" headerRowDxfId="43" dataDxfId="41" headerRowBorderDxfId="42" headerRowCellStyle="Heading 2">
  <autoFilter ref="N33:O40" xr:uid="{E7F708E7-6029-1341-8251-DF3DDDFF7B00}"/>
  <tableColumns count="2">
    <tableColumn id="1" xr3:uid="{440FA0DB-848F-9F48-9EDE-A92BB70EB242}" name="PIC" dataDxfId="40"/>
    <tableColumn id="2" xr3:uid="{BCFB4232-A96D-B74B-ADE9-74DE4F804D8D}" name="TOTAL" dataDxfId="39">
      <calculatedColumnFormula>COUNTIF(Table_test_case[PIC],TablePic[[#This Row],[PIC]])</calculatedColumnFormula>
    </tableColumn>
  </tableColumns>
  <tableStyleInfo name="TableStyleMedium6"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A78BE29-BD42-E94C-B75E-07BC3539C64B}" name="TablePriority" displayName="TablePriority" ref="K33:L37" totalsRowShown="0" headerRowDxfId="38" dataDxfId="37" headerRowCellStyle="Heading 2">
  <autoFilter ref="K33:L37" xr:uid="{7A78BE29-BD42-E94C-B75E-07BC3539C64B}"/>
  <tableColumns count="2">
    <tableColumn id="1" xr3:uid="{3FBAF980-B046-1744-A68E-80FA60193677}" name="PRIORITY " dataDxfId="36"/>
    <tableColumn id="2" xr3:uid="{20CF8267-20CB-2447-B0EE-04CA0FFEC084}" name="TOTAL" dataDxfId="35">
      <calculatedColumnFormula>COUNTIF(Table_test_case[PRIORITY],TablePriority[[#This Row],[PRIORITY ]])</calculatedColumnFormula>
    </tableColumn>
  </tableColumns>
  <tableStyleInfo name="TableStyleMedium6"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12B34AFC-8443-7646-A5FF-38B643D476A1}" name="TableTestType" displayName="TableTestType" ref="E33:F35" totalsRowShown="0" headerRowDxfId="34" dataDxfId="33" headerRowCellStyle="Heading 2">
  <autoFilter ref="E33:F35" xr:uid="{12B34AFC-8443-7646-A5FF-38B643D476A1}"/>
  <tableColumns count="2">
    <tableColumn id="1" xr3:uid="{E4B2D535-AD93-2241-822E-9CF430ABB581}" name="TYPE TEST" dataDxfId="32"/>
    <tableColumn id="2" xr3:uid="{B2FCB4DD-51A8-1548-8514-2F1B2803A7E8}" name="TOTAL" dataDxfId="31">
      <calculatedColumnFormula>COUNTIF(Table_test_case[TEST TYPE],TableTestType[[#This Row],[TYPE TEST]])</calculatedColumnFormula>
    </tableColumn>
  </tableColumns>
  <tableStyleInfo name="TableStyleMedium6"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6C7EEE0D-7F76-2040-BCB4-250854C8F0F0}" name="TablePage" displayName="TablePage" ref="B33:C34" totalsRowShown="0" headerRowDxfId="30" dataDxfId="29" headerRowCellStyle="Heading 2">
  <autoFilter ref="B33:C34" xr:uid="{6C7EEE0D-7F76-2040-BCB4-250854C8F0F0}"/>
  <tableColumns count="2">
    <tableColumn id="2" xr3:uid="{715B60B1-67E3-3D45-A8B0-02B0A787B3D7}" name="PAGE" dataDxfId="28"/>
    <tableColumn id="3" xr3:uid="{A956E912-A71F-0145-AD97-1B193CC99877}" name="TOTAL" dataDxfId="27">
      <calculatedColumnFormula>B32</calculatedColumnFormula>
    </tableColumn>
  </tableColumns>
  <tableStyleInfo name="TableStyleMedium6"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test_case" displayName="Table_test_case" ref="A9:R49" totalsRowShown="0" headerRowDxfId="26" dataDxfId="24" headerRowBorderDxfId="25" tableBorderDxfId="23" totalsRowBorderDxfId="22" headerRowCellStyle="Heading 3">
  <autoFilter ref="A9:R49" xr:uid="{00000000-000C-0000-FFFF-FFFF00000000}"/>
  <tableColumns count="18">
    <tableColumn id="1" xr3:uid="{00000000-0010-0000-0000-000001000000}" name="NO." dataDxfId="21">
      <calculatedColumnFormula>A9+1</calculatedColumnFormula>
    </tableColumn>
    <tableColumn id="2" xr3:uid="{00000000-0010-0000-0000-000002000000}" name="FUNGTION" dataDxfId="20"/>
    <tableColumn id="3" xr3:uid="{00000000-0010-0000-0000-000003000000}" name="TEST_x000a_CASE_x000a_ID" dataDxfId="19"/>
    <tableColumn id="17" xr3:uid="{00000000-0010-0000-0000-000011000000}" name="TEST TYPE" dataDxfId="18"/>
    <tableColumn id="22" xr3:uid="{00000000-0010-0000-0000-000016000000}" name="STATUS" dataDxfId="17"/>
    <tableColumn id="6" xr3:uid="{00000000-0010-0000-0000-000006000000}" name=" " dataDxfId="16"/>
    <tableColumn id="19" xr3:uid="{00000000-0010-0000-0000-000013000000}" name="DESCRIPTION" dataDxfId="15"/>
    <tableColumn id="18" xr3:uid="{00000000-0010-0000-0000-000012000000}" name="PREREQUISITES" dataDxfId="14"/>
    <tableColumn id="7" xr3:uid="{00000000-0010-0000-0000-000007000000}" name="TEST STEPS" dataDxfId="13"/>
    <tableColumn id="8" xr3:uid="{00000000-0010-0000-0000-000008000000}" name="EXPECTED RESULT" dataDxfId="12"/>
    <tableColumn id="9" xr3:uid="{00000000-0010-0000-0000-000009000000}" name="ACTUAL RESULT" dataDxfId="11"/>
    <tableColumn id="16" xr3:uid="{00000000-0010-0000-0000-000010000000}" name="NOTES" dataDxfId="10"/>
    <tableColumn id="5" xr3:uid="{AF37849C-47CF-1D42-9803-BA046E03AA35}" name="PRIORITY" dataDxfId="9"/>
    <tableColumn id="4" xr3:uid="{7D50DCE3-CDE0-D540-AD1E-7BD0F9C19C2B}" name="PIC" dataDxfId="8"/>
    <tableColumn id="12" xr3:uid="{00000000-0010-0000-0000-00000C000000}" name="CREATED_x000a_BY" dataDxfId="7"/>
    <tableColumn id="13" xr3:uid="{00000000-0010-0000-0000-00000D000000}" name="CREATED_x000a_ON" dataDxfId="6"/>
    <tableColumn id="14" xr3:uid="{00000000-0010-0000-0000-00000E000000}" name="EXECUTED_x000a_BY" dataDxfId="5"/>
    <tableColumn id="15" xr3:uid="{00000000-0010-0000-0000-00000F000000}" name="EXECUTED_x000a_ON" dataDxfId="4"/>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drawing" Target="../drawings/drawing1.xml"/><Relationship Id="rId6" Type="http://schemas.openxmlformats.org/officeDocument/2006/relationships/table" Target="../tables/table5.xml"/><Relationship Id="rId5" Type="http://schemas.openxmlformats.org/officeDocument/2006/relationships/table" Target="../tables/table4.xml"/><Relationship Id="rId4" Type="http://schemas.openxmlformats.org/officeDocument/2006/relationships/table" Target="../tables/table3.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table" Target="../tables/table6.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F2D4AE-FCC9-6742-877C-3E48E2465F27}">
  <sheetPr codeName="Sheet4">
    <tabColor theme="8" tint="-0.249977111117893"/>
  </sheetPr>
  <dimension ref="A1:P41"/>
  <sheetViews>
    <sheetView showGridLines="0" topLeftCell="A18" zoomScaleNormal="100" workbookViewId="0">
      <selection activeCell="C40" sqref="C40"/>
    </sheetView>
  </sheetViews>
  <sheetFormatPr defaultColWidth="10.796875" defaultRowHeight="15"/>
  <cols>
    <col min="1" max="1" width="1.19921875" style="3" customWidth="1"/>
    <col min="2" max="2" width="35.796875" style="3" customWidth="1"/>
    <col min="3" max="3" width="12.796875" style="3" customWidth="1"/>
    <col min="4" max="4" width="5.19921875" style="3" customWidth="1"/>
    <col min="5" max="5" width="21.19921875" style="3" customWidth="1"/>
    <col min="6" max="6" width="12.796875" style="3" customWidth="1"/>
    <col min="7" max="7" width="5.19921875" style="3" customWidth="1"/>
    <col min="8" max="8" width="21.19921875" style="3" customWidth="1"/>
    <col min="9" max="9" width="12.796875" style="3" customWidth="1"/>
    <col min="10" max="10" width="5.19921875" style="3" customWidth="1"/>
    <col min="11" max="11" width="21.19921875" style="3" customWidth="1"/>
    <col min="12" max="12" width="12.796875" style="3" customWidth="1"/>
    <col min="13" max="13" width="5.19921875" style="3" customWidth="1"/>
    <col min="14" max="14" width="21.19921875" style="3" customWidth="1"/>
    <col min="15" max="15" width="12.796875" style="3" customWidth="1"/>
    <col min="16" max="16" width="9" style="3" bestFit="1" customWidth="1"/>
    <col min="17" max="17" width="17.19921875" style="3" bestFit="1" customWidth="1"/>
    <col min="18" max="18" width="16.5" style="3" bestFit="1" customWidth="1"/>
    <col min="19" max="19" width="22" style="3" bestFit="1" customWidth="1"/>
    <col min="20" max="16384" width="10.796875" style="3"/>
  </cols>
  <sheetData>
    <row r="1" spans="1:16" ht="6" customHeight="1">
      <c r="A1" s="28"/>
      <c r="B1" s="28"/>
      <c r="C1" s="28"/>
      <c r="D1" s="28"/>
      <c r="E1" s="28"/>
      <c r="F1" s="28"/>
      <c r="G1" s="28"/>
      <c r="H1" s="28"/>
      <c r="I1" s="28"/>
      <c r="J1" s="28"/>
      <c r="K1" s="28"/>
      <c r="L1" s="28"/>
      <c r="M1" s="28"/>
      <c r="N1" s="28"/>
      <c r="O1" s="28"/>
      <c r="P1" s="29"/>
    </row>
    <row r="2" spans="1:16">
      <c r="A2" s="28"/>
      <c r="B2" s="28"/>
      <c r="C2" s="28"/>
      <c r="D2" s="28"/>
      <c r="E2" s="28"/>
      <c r="F2" s="28"/>
      <c r="G2" s="28"/>
      <c r="H2" s="28"/>
      <c r="I2" s="28"/>
      <c r="J2" s="28"/>
      <c r="K2" s="28"/>
      <c r="L2" s="28"/>
      <c r="M2" s="28"/>
      <c r="N2" s="28"/>
      <c r="O2" s="28"/>
      <c r="P2" s="29"/>
    </row>
    <row r="3" spans="1:16">
      <c r="A3" s="28"/>
      <c r="B3" s="28"/>
      <c r="C3" s="28"/>
      <c r="D3" s="28"/>
      <c r="E3" s="28"/>
      <c r="F3" s="28"/>
      <c r="G3" s="28"/>
      <c r="H3" s="28"/>
      <c r="I3" s="28"/>
      <c r="J3" s="28"/>
      <c r="K3" s="28"/>
      <c r="L3" s="28"/>
      <c r="M3" s="28"/>
      <c r="N3" s="28"/>
      <c r="O3" s="28"/>
      <c r="P3" s="29"/>
    </row>
    <row r="4" spans="1:16">
      <c r="A4" s="28"/>
      <c r="B4" s="28"/>
      <c r="C4" s="28"/>
      <c r="D4" s="28"/>
      <c r="E4" s="28"/>
      <c r="F4" s="28"/>
      <c r="G4" s="28"/>
      <c r="H4" s="28"/>
      <c r="I4" s="28"/>
      <c r="J4" s="28"/>
      <c r="K4" s="28"/>
      <c r="L4" s="28"/>
      <c r="M4" s="28"/>
      <c r="N4" s="28"/>
      <c r="O4" s="28"/>
      <c r="P4" s="29"/>
    </row>
    <row r="5" spans="1:16">
      <c r="A5" s="28"/>
      <c r="B5" s="28"/>
      <c r="C5" s="28"/>
      <c r="D5" s="28"/>
      <c r="E5" s="28"/>
      <c r="F5" s="28"/>
      <c r="G5" s="28"/>
      <c r="H5" s="28"/>
      <c r="I5" s="28"/>
      <c r="J5" s="28"/>
      <c r="K5" s="28"/>
      <c r="L5" s="28"/>
      <c r="M5" s="28"/>
      <c r="N5" s="28"/>
      <c r="O5" s="28"/>
      <c r="P5" s="29"/>
    </row>
    <row r="6" spans="1:16">
      <c r="A6" s="28"/>
      <c r="B6" s="28"/>
      <c r="C6" s="28"/>
      <c r="D6" s="28"/>
      <c r="E6" s="28"/>
      <c r="F6" s="28"/>
      <c r="G6" s="28"/>
      <c r="H6" s="28"/>
      <c r="I6" s="28"/>
      <c r="J6" s="28"/>
      <c r="K6" s="28"/>
      <c r="L6" s="28"/>
      <c r="M6" s="28"/>
      <c r="N6" s="28"/>
      <c r="O6" s="28"/>
      <c r="P6" s="29"/>
    </row>
    <row r="7" spans="1:16">
      <c r="A7" s="28"/>
      <c r="B7" s="28"/>
      <c r="C7" s="28"/>
      <c r="D7" s="28"/>
      <c r="E7" s="28"/>
      <c r="F7" s="28"/>
      <c r="G7" s="28"/>
      <c r="H7" s="28"/>
      <c r="I7" s="28"/>
      <c r="J7" s="28"/>
      <c r="K7" s="28"/>
      <c r="L7" s="28"/>
      <c r="M7" s="28"/>
      <c r="N7" s="28"/>
      <c r="O7" s="28"/>
      <c r="P7" s="29"/>
    </row>
    <row r="8" spans="1:16">
      <c r="A8" s="28"/>
      <c r="B8" s="28"/>
      <c r="C8" s="28"/>
      <c r="D8" s="28"/>
      <c r="E8" s="28"/>
      <c r="F8" s="28"/>
      <c r="G8" s="28"/>
      <c r="H8" s="28"/>
      <c r="I8" s="28"/>
      <c r="J8" s="28"/>
      <c r="K8" s="28"/>
      <c r="L8" s="28"/>
      <c r="M8" s="28"/>
      <c r="N8" s="28"/>
      <c r="O8" s="28"/>
      <c r="P8" s="29"/>
    </row>
    <row r="9" spans="1:16">
      <c r="A9" s="28"/>
      <c r="B9" s="28"/>
      <c r="C9" s="28"/>
      <c r="D9" s="28"/>
      <c r="E9" s="28"/>
      <c r="F9" s="28"/>
      <c r="G9" s="28"/>
      <c r="H9" s="28"/>
      <c r="I9" s="28"/>
      <c r="J9" s="28"/>
      <c r="K9" s="28"/>
      <c r="L9" s="28"/>
      <c r="M9" s="28"/>
      <c r="N9" s="28"/>
      <c r="O9" s="28"/>
      <c r="P9" s="29"/>
    </row>
    <row r="10" spans="1:16">
      <c r="A10" s="28"/>
      <c r="B10" s="28"/>
      <c r="C10" s="28"/>
      <c r="D10" s="28"/>
      <c r="E10" s="28"/>
      <c r="F10" s="28"/>
      <c r="G10" s="28"/>
      <c r="H10" s="28"/>
      <c r="I10" s="28"/>
      <c r="J10" s="28"/>
      <c r="K10" s="28"/>
      <c r="L10" s="28"/>
      <c r="M10" s="28"/>
      <c r="N10" s="28"/>
      <c r="O10" s="28"/>
      <c r="P10" s="29"/>
    </row>
    <row r="11" spans="1:16">
      <c r="A11" s="28"/>
      <c r="B11" s="28"/>
      <c r="C11" s="28"/>
      <c r="D11" s="28"/>
      <c r="E11" s="28"/>
      <c r="F11" s="28"/>
      <c r="G11" s="28"/>
      <c r="H11" s="28"/>
      <c r="I11" s="28"/>
      <c r="J11" s="28"/>
      <c r="K11" s="28"/>
      <c r="L11" s="28"/>
      <c r="M11" s="28"/>
      <c r="N11" s="28"/>
      <c r="O11" s="28"/>
      <c r="P11" s="29"/>
    </row>
    <row r="12" spans="1:16">
      <c r="A12" s="28"/>
      <c r="B12" s="28"/>
      <c r="C12" s="28"/>
      <c r="D12" s="28"/>
      <c r="E12" s="28"/>
      <c r="F12" s="28"/>
      <c r="G12" s="28"/>
      <c r="H12" s="28"/>
      <c r="I12" s="28"/>
      <c r="J12" s="28"/>
      <c r="K12" s="28"/>
      <c r="L12" s="28"/>
      <c r="M12" s="28"/>
      <c r="N12" s="28"/>
      <c r="O12" s="28"/>
      <c r="P12" s="29"/>
    </row>
    <row r="13" spans="1:16">
      <c r="A13" s="28"/>
      <c r="B13" s="28"/>
      <c r="C13" s="28"/>
      <c r="D13" s="28"/>
      <c r="E13" s="28"/>
      <c r="F13" s="28"/>
      <c r="G13" s="28"/>
      <c r="H13" s="28"/>
      <c r="I13" s="28"/>
      <c r="J13" s="28"/>
      <c r="K13" s="28"/>
      <c r="L13" s="28"/>
      <c r="M13" s="28"/>
      <c r="N13" s="28"/>
      <c r="O13" s="28"/>
      <c r="P13" s="29"/>
    </row>
    <row r="14" spans="1:16">
      <c r="A14" s="28"/>
      <c r="B14" s="28"/>
      <c r="C14" s="28"/>
      <c r="D14" s="28"/>
      <c r="E14" s="28"/>
      <c r="F14" s="28"/>
      <c r="G14" s="28"/>
      <c r="H14" s="28"/>
      <c r="I14" s="28"/>
      <c r="J14" s="28"/>
      <c r="K14" s="28"/>
      <c r="L14" s="28"/>
      <c r="M14" s="28"/>
      <c r="N14" s="28"/>
      <c r="O14" s="28"/>
      <c r="P14" s="29"/>
    </row>
    <row r="15" spans="1:16">
      <c r="A15" s="28"/>
      <c r="B15" s="28"/>
      <c r="C15" s="28"/>
      <c r="D15" s="28"/>
      <c r="E15" s="28"/>
      <c r="F15" s="28"/>
      <c r="G15" s="28"/>
      <c r="H15" s="28"/>
      <c r="I15" s="28"/>
      <c r="J15" s="28"/>
      <c r="K15" s="28"/>
      <c r="L15" s="28"/>
      <c r="M15" s="28"/>
      <c r="N15" s="28"/>
      <c r="O15" s="28"/>
      <c r="P15" s="29"/>
    </row>
    <row r="16" spans="1:16">
      <c r="A16" s="28"/>
      <c r="B16" s="28"/>
      <c r="C16" s="28"/>
      <c r="D16" s="28"/>
      <c r="E16" s="28"/>
      <c r="F16" s="28"/>
      <c r="G16" s="28"/>
      <c r="H16" s="28"/>
      <c r="I16" s="28"/>
      <c r="J16" s="28"/>
      <c r="K16" s="28"/>
      <c r="L16" s="28"/>
      <c r="M16" s="28"/>
      <c r="N16" s="28"/>
      <c r="O16" s="28"/>
      <c r="P16" s="29"/>
    </row>
    <row r="17" spans="1:16">
      <c r="A17" s="28"/>
      <c r="B17" s="28"/>
      <c r="C17" s="28"/>
      <c r="D17" s="28"/>
      <c r="E17" s="28"/>
      <c r="F17" s="28"/>
      <c r="G17" s="28"/>
      <c r="H17" s="28"/>
      <c r="I17" s="28"/>
      <c r="J17" s="28"/>
      <c r="K17" s="28"/>
      <c r="L17" s="28"/>
      <c r="M17" s="28"/>
      <c r="N17" s="28"/>
      <c r="O17" s="28"/>
      <c r="P17" s="29"/>
    </row>
    <row r="18" spans="1:16">
      <c r="A18" s="28"/>
      <c r="B18" s="28"/>
      <c r="C18" s="28"/>
      <c r="D18" s="28"/>
      <c r="E18" s="28"/>
      <c r="F18" s="28"/>
      <c r="G18" s="28"/>
      <c r="H18" s="28"/>
      <c r="I18" s="28"/>
      <c r="J18" s="28"/>
      <c r="K18" s="28"/>
      <c r="L18" s="28"/>
      <c r="M18" s="28"/>
      <c r="N18" s="28"/>
      <c r="O18" s="28"/>
      <c r="P18" s="29"/>
    </row>
    <row r="19" spans="1:16">
      <c r="A19" s="28"/>
      <c r="B19" s="28"/>
      <c r="C19" s="28"/>
      <c r="D19" s="28"/>
      <c r="E19" s="28"/>
      <c r="F19" s="28"/>
      <c r="G19" s="28"/>
      <c r="H19" s="28"/>
      <c r="I19" s="28"/>
      <c r="J19" s="28"/>
      <c r="K19" s="28"/>
      <c r="L19" s="28"/>
      <c r="M19" s="28"/>
      <c r="N19" s="28"/>
      <c r="O19" s="28"/>
      <c r="P19" s="29"/>
    </row>
    <row r="20" spans="1:16">
      <c r="A20" s="28"/>
      <c r="B20" s="28"/>
      <c r="C20" s="28"/>
      <c r="D20" s="28"/>
      <c r="E20" s="28"/>
      <c r="F20" s="28"/>
      <c r="G20" s="28"/>
      <c r="H20" s="28"/>
      <c r="I20" s="28"/>
      <c r="J20" s="28"/>
      <c r="K20" s="28"/>
      <c r="L20" s="28"/>
      <c r="M20" s="28"/>
      <c r="N20" s="28"/>
      <c r="O20" s="28"/>
      <c r="P20" s="29"/>
    </row>
    <row r="21" spans="1:16">
      <c r="A21" s="28"/>
      <c r="B21" s="28"/>
      <c r="C21" s="28"/>
      <c r="D21" s="28"/>
      <c r="E21" s="28"/>
      <c r="F21" s="28"/>
      <c r="G21" s="28"/>
      <c r="H21" s="28"/>
      <c r="I21" s="28"/>
      <c r="J21" s="28"/>
      <c r="K21" s="28"/>
      <c r="L21" s="28"/>
      <c r="M21" s="28"/>
      <c r="N21" s="28"/>
      <c r="O21" s="28"/>
      <c r="P21" s="29"/>
    </row>
    <row r="22" spans="1:16">
      <c r="A22" s="28"/>
      <c r="B22" s="28"/>
      <c r="C22" s="28"/>
      <c r="D22" s="28"/>
      <c r="E22" s="28"/>
      <c r="F22" s="28"/>
      <c r="G22" s="28"/>
      <c r="H22" s="28"/>
      <c r="I22" s="28"/>
      <c r="J22" s="28"/>
      <c r="K22" s="28"/>
      <c r="L22" s="28"/>
      <c r="M22" s="28"/>
      <c r="N22" s="28"/>
      <c r="O22" s="28"/>
      <c r="P22" s="29"/>
    </row>
    <row r="23" spans="1:16">
      <c r="A23" s="28"/>
      <c r="B23" s="28"/>
      <c r="C23" s="28"/>
      <c r="D23" s="28"/>
      <c r="E23" s="28"/>
      <c r="F23" s="28"/>
      <c r="G23" s="28"/>
      <c r="H23" s="28"/>
      <c r="I23" s="28"/>
      <c r="J23" s="28"/>
      <c r="K23" s="28"/>
      <c r="L23" s="28"/>
      <c r="M23" s="28"/>
      <c r="N23" s="28"/>
      <c r="O23" s="28"/>
      <c r="P23" s="29"/>
    </row>
    <row r="24" spans="1:16">
      <c r="A24" s="28"/>
      <c r="B24" s="28"/>
      <c r="C24" s="28"/>
      <c r="D24" s="28"/>
      <c r="E24" s="28"/>
      <c r="F24" s="28"/>
      <c r="G24" s="28"/>
      <c r="H24" s="28"/>
      <c r="I24" s="28"/>
      <c r="J24" s="28"/>
      <c r="K24" s="28"/>
      <c r="L24" s="28"/>
      <c r="M24" s="28"/>
      <c r="N24" s="28"/>
      <c r="O24" s="28"/>
      <c r="P24" s="29"/>
    </row>
    <row r="25" spans="1:16">
      <c r="A25" s="28"/>
      <c r="B25" s="28"/>
      <c r="C25" s="28"/>
      <c r="D25" s="28"/>
      <c r="E25" s="28"/>
      <c r="F25" s="28"/>
      <c r="G25" s="28"/>
      <c r="H25" s="28"/>
      <c r="I25" s="28"/>
      <c r="J25" s="28"/>
      <c r="K25" s="28"/>
      <c r="L25" s="28"/>
      <c r="M25" s="28"/>
      <c r="N25" s="28"/>
      <c r="O25" s="28"/>
      <c r="P25" s="29"/>
    </row>
    <row r="26" spans="1:16">
      <c r="A26" s="28"/>
      <c r="B26" s="28"/>
      <c r="C26" s="28"/>
      <c r="D26" s="28"/>
      <c r="E26" s="28"/>
      <c r="F26" s="28"/>
      <c r="G26" s="28"/>
      <c r="H26" s="28"/>
      <c r="I26" s="28"/>
      <c r="J26" s="28"/>
      <c r="K26" s="28"/>
      <c r="L26" s="28"/>
      <c r="M26" s="28"/>
      <c r="N26" s="28"/>
      <c r="O26" s="28"/>
      <c r="P26" s="29"/>
    </row>
    <row r="27" spans="1:16">
      <c r="A27" s="28"/>
      <c r="B27" s="28"/>
      <c r="C27" s="28"/>
      <c r="D27" s="28"/>
      <c r="E27" s="28"/>
      <c r="F27" s="28"/>
      <c r="G27" s="28"/>
      <c r="H27" s="28"/>
      <c r="I27" s="28"/>
      <c r="J27" s="28"/>
      <c r="K27" s="28"/>
      <c r="L27" s="28"/>
      <c r="M27" s="28"/>
      <c r="N27" s="28"/>
      <c r="O27" s="28"/>
      <c r="P27" s="29"/>
    </row>
    <row r="28" spans="1:16" ht="16.05" customHeight="1">
      <c r="A28" s="28"/>
      <c r="B28" s="28"/>
      <c r="C28" s="28"/>
      <c r="D28" s="28"/>
      <c r="E28" s="28"/>
      <c r="F28" s="28"/>
      <c r="G28" s="28"/>
      <c r="H28" s="28"/>
      <c r="I28" s="28"/>
      <c r="J28" s="28"/>
      <c r="K28" s="28"/>
      <c r="L28" s="28"/>
      <c r="M28" s="28"/>
      <c r="N28" s="28"/>
      <c r="O28" s="28"/>
      <c r="P28" s="29"/>
    </row>
    <row r="29" spans="1:16" ht="16.05" customHeight="1">
      <c r="A29" s="28"/>
      <c r="B29" s="28"/>
      <c r="C29" s="28"/>
      <c r="D29" s="28"/>
      <c r="E29" s="28"/>
      <c r="F29" s="28"/>
      <c r="G29" s="28"/>
      <c r="H29" s="28"/>
      <c r="I29" s="28"/>
      <c r="J29" s="28"/>
      <c r="K29" s="28"/>
      <c r="L29" s="28"/>
      <c r="M29" s="28"/>
      <c r="N29" s="28"/>
      <c r="O29" s="28"/>
      <c r="P29" s="29"/>
    </row>
    <row r="30" spans="1:16" ht="16.05" customHeight="1">
      <c r="A30" s="28"/>
      <c r="B30" s="28"/>
      <c r="C30" s="28"/>
      <c r="D30" s="28"/>
      <c r="E30" s="28"/>
      <c r="F30" s="28"/>
      <c r="G30" s="28"/>
      <c r="H30" s="28"/>
      <c r="I30" s="28"/>
      <c r="J30" s="28"/>
      <c r="K30" s="28"/>
      <c r="L30" s="28"/>
      <c r="M30" s="28"/>
      <c r="N30" s="28"/>
      <c r="O30" s="28"/>
      <c r="P30" s="29"/>
    </row>
    <row r="31" spans="1:16" ht="16.05" customHeight="1">
      <c r="A31" s="28"/>
      <c r="B31" s="28"/>
      <c r="C31" s="28"/>
      <c r="D31" s="28"/>
      <c r="E31" s="28"/>
      <c r="F31" s="28"/>
      <c r="G31" s="28"/>
      <c r="H31" s="28"/>
      <c r="I31" s="28"/>
      <c r="J31" s="28"/>
      <c r="K31" s="28"/>
      <c r="L31" s="28"/>
      <c r="M31" s="28"/>
      <c r="N31" s="28"/>
      <c r="O31" s="28"/>
      <c r="P31" s="29"/>
    </row>
    <row r="32" spans="1:16" ht="16.05" customHeight="1">
      <c r="P32" s="30"/>
    </row>
    <row r="33" spans="2:15" ht="42" customHeight="1" thickBot="1">
      <c r="B33" s="24" t="s">
        <v>34</v>
      </c>
      <c r="C33" s="25" t="s">
        <v>35</v>
      </c>
      <c r="D33" s="26"/>
      <c r="E33" s="24" t="s">
        <v>33</v>
      </c>
      <c r="F33" s="25" t="s">
        <v>35</v>
      </c>
      <c r="G33" s="26"/>
      <c r="H33" s="24" t="s">
        <v>6</v>
      </c>
      <c r="I33" s="25" t="s">
        <v>35</v>
      </c>
      <c r="J33" s="26"/>
      <c r="K33" s="24" t="s">
        <v>28</v>
      </c>
      <c r="L33" s="25" t="s">
        <v>35</v>
      </c>
      <c r="M33" s="26"/>
      <c r="N33" s="24" t="s">
        <v>11</v>
      </c>
      <c r="O33" s="27" t="s">
        <v>35</v>
      </c>
    </row>
    <row r="34" spans="2:15" ht="15.6" thickTop="1">
      <c r="B34" s="3" t="s">
        <v>59</v>
      </c>
      <c r="C34" s="3">
        <f t="shared" ref="C34" si="0">B32</f>
        <v>0</v>
      </c>
      <c r="E34" s="3" t="s">
        <v>8</v>
      </c>
      <c r="F34" s="3">
        <f>COUNTIF(Table_test_case[TEST TYPE],TableTestType[[#This Row],[TYPE TEST]])</f>
        <v>25</v>
      </c>
      <c r="H34" s="3" t="s">
        <v>24</v>
      </c>
      <c r="I34" s="3">
        <f>COUNTIF(Table_test_case[STATUS],TableStatus[[#This Row],[STATUS]])</f>
        <v>0</v>
      </c>
      <c r="K34" s="3" t="s">
        <v>29</v>
      </c>
      <c r="L34" s="3">
        <f>COUNTIF(Table_test_case[PRIORITY],TablePriority[[#This Row],[PRIORITY ]])</f>
        <v>0</v>
      </c>
      <c r="N34" s="3" t="s">
        <v>9</v>
      </c>
      <c r="O34" s="3">
        <f>COUNTIF(Table_test_case[PIC],TablePic[[#This Row],[PIC]])</f>
        <v>0</v>
      </c>
    </row>
    <row r="35" spans="2:15">
      <c r="E35" s="3" t="s">
        <v>12</v>
      </c>
      <c r="F35" s="3">
        <f>COUNTIF(Table_test_case[TEST TYPE],TableTestType[[#This Row],[TYPE TEST]])</f>
        <v>15</v>
      </c>
      <c r="H35" s="3" t="s">
        <v>25</v>
      </c>
      <c r="I35" s="3">
        <f>COUNTIF(Table_test_case[STATUS],TableStatus[[#This Row],[STATUS]])</f>
        <v>0</v>
      </c>
      <c r="K35" s="3" t="s">
        <v>30</v>
      </c>
      <c r="L35" s="3">
        <f>COUNTIF(Table_test_case[PRIORITY],TablePriority[[#This Row],[PRIORITY ]])</f>
        <v>0</v>
      </c>
      <c r="N35" s="3" t="s">
        <v>37</v>
      </c>
      <c r="O35" s="3">
        <f>COUNTIF(Table_test_case[PIC],TablePic[[#This Row],[PIC]])</f>
        <v>0</v>
      </c>
    </row>
    <row r="36" spans="2:15">
      <c r="H36" s="3" t="s">
        <v>26</v>
      </c>
      <c r="I36" s="3">
        <f>COUNTIF(Table_test_case[STATUS],TableStatus[[#This Row],[STATUS]])</f>
        <v>0</v>
      </c>
      <c r="K36" s="3" t="s">
        <v>31</v>
      </c>
      <c r="L36" s="3">
        <f>COUNTIF(Table_test_case[PRIORITY],TablePriority[[#This Row],[PRIORITY ]])</f>
        <v>34</v>
      </c>
      <c r="N36" s="3" t="s">
        <v>38</v>
      </c>
      <c r="O36" s="3">
        <f>COUNTIF(Table_test_case[PIC],TablePic[[#This Row],[PIC]])</f>
        <v>0</v>
      </c>
    </row>
    <row r="37" spans="2:15">
      <c r="H37" s="3" t="s">
        <v>21</v>
      </c>
      <c r="I37" s="3">
        <f>COUNTIF(Table_test_case[STATUS],TableStatus[[#This Row],[STATUS]])</f>
        <v>40</v>
      </c>
      <c r="K37" s="3" t="s">
        <v>32</v>
      </c>
      <c r="L37" s="3">
        <f>COUNTIF(Table_test_case[PRIORITY],TablePriority[[#This Row],[PRIORITY ]])</f>
        <v>0</v>
      </c>
      <c r="N37" s="3" t="s">
        <v>39</v>
      </c>
      <c r="O37" s="4">
        <f>COUNTIF(Table_test_case[PIC],TablePic[[#This Row],[PIC]])</f>
        <v>0</v>
      </c>
    </row>
    <row r="38" spans="2:15">
      <c r="I38" s="4"/>
      <c r="N38" s="3" t="s">
        <v>40</v>
      </c>
      <c r="O38" s="4">
        <f>COUNTIF(Table_test_case[PIC],TablePic[[#This Row],[PIC]])</f>
        <v>34</v>
      </c>
    </row>
    <row r="39" spans="2:15">
      <c r="I39" s="4"/>
      <c r="N39" s="3" t="s">
        <v>41</v>
      </c>
      <c r="O39" s="4">
        <f>COUNTIF(Table_test_case[PIC],TablePic[[#This Row],[PIC]])</f>
        <v>0</v>
      </c>
    </row>
    <row r="40" spans="2:15">
      <c r="I40" s="4"/>
      <c r="N40" s="3" t="s">
        <v>42</v>
      </c>
      <c r="O40" s="4">
        <f>COUNTIF(Table_test_case[PIC],TablePic[[#This Row],[PIC]])</f>
        <v>0</v>
      </c>
    </row>
    <row r="41" spans="2:15">
      <c r="I41" s="4"/>
    </row>
  </sheetData>
  <pageMargins left="0.7" right="0.7" top="0.75" bottom="0.75" header="0.3" footer="0.3"/>
  <drawing r:id="rId1"/>
  <tableParts count="5">
    <tablePart r:id="rId2"/>
    <tablePart r:id="rId3"/>
    <tablePart r:id="rId4"/>
    <tablePart r:id="rId5"/>
    <tablePart r:id="rId6"/>
  </tablePart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S57"/>
  <sheetViews>
    <sheetView showGridLines="0" tabSelected="1" zoomScale="90" zoomScaleNormal="90" workbookViewId="0">
      <pane xSplit="6" ySplit="9" topLeftCell="G48" activePane="bottomRight" state="frozen"/>
      <selection activeCell="C17" sqref="C17:C18"/>
      <selection pane="topRight" activeCell="C17" sqref="C17:C18"/>
      <selection pane="bottomLeft" activeCell="C17" sqref="C17:C18"/>
      <selection pane="bottomRight" activeCell="C50" sqref="C50"/>
    </sheetView>
  </sheetViews>
  <sheetFormatPr defaultColWidth="9" defaultRowHeight="15" customHeight="1"/>
  <cols>
    <col min="1" max="1" width="4" style="9" customWidth="1"/>
    <col min="2" max="2" width="30.796875" style="9" customWidth="1"/>
    <col min="3" max="3" width="9.796875" style="9" customWidth="1"/>
    <col min="4" max="4" width="8.19921875" style="9" bestFit="1" customWidth="1"/>
    <col min="5" max="5" width="11" style="9" customWidth="1"/>
    <col min="6" max="6" width="2.5" style="9" customWidth="1"/>
    <col min="7" max="8" width="35.69921875" style="9" customWidth="1"/>
    <col min="9" max="9" width="37.5" style="9" bestFit="1" customWidth="1"/>
    <col min="10" max="11" width="35.69921875" style="9" customWidth="1"/>
    <col min="12" max="12" width="54.19921875" style="9" bestFit="1" customWidth="1"/>
    <col min="13" max="13" width="23.796875" style="9" customWidth="1"/>
    <col min="14" max="15" width="12.796875" style="9" customWidth="1"/>
    <col min="16" max="16" width="16.796875" style="9" customWidth="1"/>
    <col min="17" max="17" width="12.796875" style="9" customWidth="1"/>
    <col min="18" max="18" width="19.69921875" style="9" bestFit="1" customWidth="1"/>
    <col min="19" max="19" width="9" style="21"/>
    <col min="20" max="16384" width="9" style="9"/>
  </cols>
  <sheetData>
    <row r="1" spans="1:19" ht="15" customHeight="1">
      <c r="S1" s="9"/>
    </row>
    <row r="2" spans="1:19" ht="15" customHeight="1">
      <c r="A2" s="10"/>
      <c r="C2" s="35"/>
      <c r="D2" s="35"/>
      <c r="E2" s="35"/>
      <c r="F2" s="11"/>
      <c r="G2" s="12"/>
      <c r="H2" s="12"/>
      <c r="I2" s="13"/>
      <c r="J2" s="10"/>
      <c r="K2" s="10"/>
      <c r="L2" s="10"/>
      <c r="M2" s="10"/>
      <c r="N2" s="10"/>
      <c r="O2" s="10"/>
      <c r="P2" s="10"/>
      <c r="Q2" s="10"/>
      <c r="R2" s="10"/>
      <c r="S2" s="9"/>
    </row>
    <row r="3" spans="1:19" ht="15" customHeight="1">
      <c r="A3" s="10"/>
      <c r="C3" s="42"/>
      <c r="D3" s="42"/>
      <c r="E3" s="36"/>
      <c r="F3" s="11"/>
      <c r="G3" s="14"/>
      <c r="H3" s="14"/>
      <c r="I3" s="13"/>
      <c r="J3" s="10"/>
      <c r="K3" s="10"/>
      <c r="L3" s="10"/>
      <c r="M3" s="10"/>
      <c r="N3" s="10"/>
      <c r="O3" s="10"/>
      <c r="P3" s="10"/>
      <c r="Q3" s="10"/>
      <c r="R3" s="10"/>
      <c r="S3" s="9"/>
    </row>
    <row r="4" spans="1:19" ht="15" customHeight="1">
      <c r="A4" s="10"/>
      <c r="C4" s="42"/>
      <c r="D4" s="42"/>
      <c r="E4" s="37"/>
      <c r="F4" s="11"/>
      <c r="G4" s="15"/>
      <c r="H4" s="15"/>
      <c r="I4" s="13"/>
      <c r="J4" s="10"/>
      <c r="K4" s="10"/>
      <c r="L4" s="10"/>
      <c r="M4" s="10"/>
      <c r="N4" s="10"/>
      <c r="O4" s="10"/>
      <c r="P4" s="10"/>
      <c r="Q4" s="10"/>
      <c r="R4" s="10"/>
      <c r="S4" s="9"/>
    </row>
    <row r="5" spans="1:19" ht="15" customHeight="1">
      <c r="A5" s="10"/>
      <c r="C5" s="42"/>
      <c r="D5" s="42"/>
      <c r="E5" s="37"/>
      <c r="F5" s="16"/>
      <c r="G5" s="15"/>
      <c r="H5" s="15"/>
      <c r="I5" s="17"/>
      <c r="J5" s="10"/>
      <c r="K5" s="10"/>
      <c r="L5" s="10"/>
      <c r="M5" s="10"/>
      <c r="N5" s="10"/>
      <c r="O5" s="10"/>
      <c r="P5" s="10"/>
      <c r="Q5" s="10"/>
      <c r="R5" s="10"/>
      <c r="S5" s="9"/>
    </row>
    <row r="6" spans="1:19" ht="15" customHeight="1">
      <c r="A6" s="10"/>
      <c r="B6" s="18"/>
      <c r="C6" s="42"/>
      <c r="D6" s="42"/>
      <c r="E6" s="37"/>
      <c r="F6" s="18"/>
      <c r="G6" s="19"/>
      <c r="H6" s="19"/>
      <c r="I6" s="17"/>
      <c r="J6" s="10"/>
      <c r="K6" s="10"/>
      <c r="L6" s="10"/>
      <c r="M6" s="10"/>
      <c r="N6" s="10"/>
      <c r="O6" s="10"/>
      <c r="P6" s="10"/>
      <c r="Q6" s="10"/>
      <c r="R6" s="10"/>
      <c r="S6" s="9"/>
    </row>
    <row r="7" spans="1:19" ht="15" customHeight="1">
      <c r="A7" s="10"/>
      <c r="B7" s="18"/>
      <c r="F7" s="18"/>
      <c r="G7" s="19"/>
      <c r="H7" s="19"/>
      <c r="I7" s="17"/>
      <c r="J7" s="10"/>
      <c r="K7" s="10"/>
      <c r="L7" s="10"/>
      <c r="M7" s="10"/>
      <c r="N7" s="10"/>
      <c r="O7" s="10"/>
      <c r="P7" s="10"/>
      <c r="Q7" s="10"/>
      <c r="R7" s="10"/>
      <c r="S7" s="9"/>
    </row>
    <row r="8" spans="1:19" ht="15" customHeight="1">
      <c r="A8" s="10"/>
      <c r="B8" s="10"/>
      <c r="G8" s="13"/>
      <c r="H8" s="13"/>
      <c r="I8" s="13"/>
      <c r="J8" s="10"/>
      <c r="K8" s="10"/>
      <c r="L8" s="10"/>
      <c r="M8" s="10"/>
      <c r="N8" s="10"/>
      <c r="O8" s="10"/>
      <c r="P8" s="10"/>
      <c r="Q8" s="10"/>
      <c r="R8" s="10"/>
      <c r="S8" s="9"/>
    </row>
    <row r="9" spans="1:19" ht="39" customHeight="1">
      <c r="A9" s="33" t="s">
        <v>0</v>
      </c>
      <c r="B9" s="34" t="s">
        <v>1</v>
      </c>
      <c r="C9" s="34" t="s">
        <v>22</v>
      </c>
      <c r="D9" s="34" t="s">
        <v>5</v>
      </c>
      <c r="E9" s="34" t="s">
        <v>6</v>
      </c>
      <c r="F9" s="38" t="s">
        <v>36</v>
      </c>
      <c r="G9" s="34" t="s">
        <v>15</v>
      </c>
      <c r="H9" s="34" t="s">
        <v>16</v>
      </c>
      <c r="I9" s="34" t="s">
        <v>2</v>
      </c>
      <c r="J9" s="34" t="s">
        <v>3</v>
      </c>
      <c r="K9" s="34" t="s">
        <v>4</v>
      </c>
      <c r="L9" s="34" t="s">
        <v>7</v>
      </c>
      <c r="M9" s="34" t="s">
        <v>27</v>
      </c>
      <c r="N9" s="34" t="s">
        <v>11</v>
      </c>
      <c r="O9" s="34" t="s">
        <v>17</v>
      </c>
      <c r="P9" s="34" t="s">
        <v>18</v>
      </c>
      <c r="Q9" s="34" t="s">
        <v>19</v>
      </c>
      <c r="R9" s="34" t="s">
        <v>20</v>
      </c>
      <c r="S9" s="9"/>
    </row>
    <row r="10" spans="1:19" s="20" customFormat="1" ht="79.2">
      <c r="A10" s="31">
        <v>1</v>
      </c>
      <c r="B10" s="5" t="s">
        <v>59</v>
      </c>
      <c r="C10" s="5" t="s">
        <v>43</v>
      </c>
      <c r="D10" s="5" t="s">
        <v>8</v>
      </c>
      <c r="E10" s="5" t="s">
        <v>21</v>
      </c>
      <c r="F10" s="8"/>
      <c r="G10" s="6" t="s">
        <v>133</v>
      </c>
      <c r="H10" s="6" t="s">
        <v>134</v>
      </c>
      <c r="I10" s="6" t="s">
        <v>138</v>
      </c>
      <c r="J10" s="6" t="s">
        <v>60</v>
      </c>
      <c r="K10" s="6"/>
      <c r="L10" s="7"/>
      <c r="M10" s="7" t="s">
        <v>31</v>
      </c>
      <c r="N10" s="7" t="s">
        <v>40</v>
      </c>
      <c r="O10" s="5" t="s">
        <v>42</v>
      </c>
      <c r="P10" s="23">
        <v>44287.579861111109</v>
      </c>
      <c r="Q10" s="7" t="s">
        <v>42</v>
      </c>
      <c r="R10" s="32"/>
    </row>
    <row r="11" spans="1:19" s="20" customFormat="1" ht="92.4">
      <c r="A11" s="31">
        <v>2</v>
      </c>
      <c r="B11" s="5" t="s">
        <v>59</v>
      </c>
      <c r="C11" s="5" t="s">
        <v>44</v>
      </c>
      <c r="D11" s="5" t="s">
        <v>8</v>
      </c>
      <c r="E11" s="5" t="s">
        <v>21</v>
      </c>
      <c r="F11" s="8"/>
      <c r="G11" s="6" t="s">
        <v>136</v>
      </c>
      <c r="H11" s="6" t="s">
        <v>135</v>
      </c>
      <c r="I11" s="6" t="s">
        <v>137</v>
      </c>
      <c r="J11" s="6" t="s">
        <v>60</v>
      </c>
      <c r="K11" s="6"/>
      <c r="L11" s="7"/>
      <c r="M11" s="7" t="s">
        <v>31</v>
      </c>
      <c r="N11" s="7" t="s">
        <v>40</v>
      </c>
      <c r="O11" s="5" t="s">
        <v>42</v>
      </c>
      <c r="P11" s="23">
        <v>44652.590752314813</v>
      </c>
      <c r="Q11" s="7"/>
      <c r="R11" s="32"/>
    </row>
    <row r="12" spans="1:19" s="20" customFormat="1" ht="79.2">
      <c r="A12" s="31">
        <v>3</v>
      </c>
      <c r="B12" s="5" t="s">
        <v>59</v>
      </c>
      <c r="C12" s="5" t="s">
        <v>46</v>
      </c>
      <c r="D12" s="5" t="s">
        <v>12</v>
      </c>
      <c r="E12" s="5" t="s">
        <v>21</v>
      </c>
      <c r="F12" s="8"/>
      <c r="G12" s="6" t="s">
        <v>142</v>
      </c>
      <c r="H12" s="6" t="s">
        <v>139</v>
      </c>
      <c r="I12" s="6" t="s">
        <v>61</v>
      </c>
      <c r="J12" s="6" t="s">
        <v>63</v>
      </c>
      <c r="K12" s="6"/>
      <c r="L12" s="7"/>
      <c r="M12" s="7" t="s">
        <v>31</v>
      </c>
      <c r="N12" s="7" t="s">
        <v>40</v>
      </c>
      <c r="O12" s="5" t="s">
        <v>42</v>
      </c>
      <c r="P12" s="23">
        <v>44652.601053240738</v>
      </c>
      <c r="Q12" s="7"/>
      <c r="R12" s="32"/>
    </row>
    <row r="13" spans="1:19" s="20" customFormat="1" ht="92.4">
      <c r="A13" s="31">
        <v>4</v>
      </c>
      <c r="B13" s="5" t="s">
        <v>59</v>
      </c>
      <c r="C13" s="5" t="s">
        <v>47</v>
      </c>
      <c r="D13" s="5" t="s">
        <v>12</v>
      </c>
      <c r="E13" s="5" t="s">
        <v>21</v>
      </c>
      <c r="F13" s="8"/>
      <c r="G13" s="6" t="s">
        <v>64</v>
      </c>
      <c r="H13" s="6" t="s">
        <v>65</v>
      </c>
      <c r="I13" s="6" t="s">
        <v>61</v>
      </c>
      <c r="J13" s="6" t="s">
        <v>63</v>
      </c>
      <c r="K13" s="6"/>
      <c r="L13" s="7"/>
      <c r="M13" s="7" t="s">
        <v>31</v>
      </c>
      <c r="N13" s="7" t="s">
        <v>40</v>
      </c>
      <c r="O13" s="5" t="s">
        <v>42</v>
      </c>
      <c r="P13" s="23">
        <v>44652.60633101852</v>
      </c>
      <c r="Q13" s="7"/>
      <c r="R13" s="32"/>
    </row>
    <row r="14" spans="1:19" ht="79.2">
      <c r="A14" s="31">
        <v>5</v>
      </c>
      <c r="B14" s="5" t="s">
        <v>59</v>
      </c>
      <c r="C14" s="5" t="s">
        <v>48</v>
      </c>
      <c r="D14" s="5" t="s">
        <v>12</v>
      </c>
      <c r="E14" s="5" t="s">
        <v>21</v>
      </c>
      <c r="F14" s="8"/>
      <c r="G14" s="6" t="s">
        <v>66</v>
      </c>
      <c r="H14" s="6" t="s">
        <v>62</v>
      </c>
      <c r="I14" s="6" t="s">
        <v>61</v>
      </c>
      <c r="J14" s="6" t="s">
        <v>69</v>
      </c>
      <c r="K14" s="6"/>
      <c r="L14" s="7"/>
      <c r="M14" s="7" t="s">
        <v>31</v>
      </c>
      <c r="N14" s="7" t="s">
        <v>40</v>
      </c>
      <c r="O14" s="5" t="s">
        <v>42</v>
      </c>
      <c r="P14" s="23">
        <v>44652.630856481483</v>
      </c>
      <c r="Q14" s="7"/>
      <c r="R14" s="32"/>
    </row>
    <row r="15" spans="1:19" ht="66">
      <c r="A15" s="31">
        <v>6</v>
      </c>
      <c r="B15" s="5" t="s">
        <v>59</v>
      </c>
      <c r="C15" s="5" t="s">
        <v>49</v>
      </c>
      <c r="D15" s="5" t="s">
        <v>12</v>
      </c>
      <c r="E15" s="5" t="s">
        <v>21</v>
      </c>
      <c r="F15" s="8"/>
      <c r="G15" s="6" t="s">
        <v>67</v>
      </c>
      <c r="H15" s="6" t="s">
        <v>62</v>
      </c>
      <c r="I15" s="6" t="s">
        <v>70</v>
      </c>
      <c r="J15" s="6" t="s">
        <v>68</v>
      </c>
      <c r="K15" s="6"/>
      <c r="L15" s="7"/>
      <c r="M15" s="7" t="s">
        <v>31</v>
      </c>
      <c r="N15" s="7" t="s">
        <v>40</v>
      </c>
      <c r="O15" s="5" t="s">
        <v>42</v>
      </c>
      <c r="P15" s="23">
        <v>44652.633229166669</v>
      </c>
      <c r="Q15" s="7"/>
      <c r="R15" s="32"/>
    </row>
    <row r="16" spans="1:19" ht="39.6">
      <c r="A16" s="31">
        <v>7</v>
      </c>
      <c r="B16" s="5" t="s">
        <v>59</v>
      </c>
      <c r="C16" s="5" t="s">
        <v>45</v>
      </c>
      <c r="D16" s="5" t="s">
        <v>12</v>
      </c>
      <c r="E16" s="5" t="s">
        <v>21</v>
      </c>
      <c r="F16" s="8"/>
      <c r="G16" s="6" t="s">
        <v>144</v>
      </c>
      <c r="H16" s="6" t="s">
        <v>145</v>
      </c>
      <c r="I16" s="6" t="s">
        <v>146</v>
      </c>
      <c r="J16" s="6" t="s">
        <v>68</v>
      </c>
      <c r="K16" s="6"/>
      <c r="L16" s="7"/>
      <c r="M16" s="7" t="s">
        <v>31</v>
      </c>
      <c r="N16" s="7" t="s">
        <v>40</v>
      </c>
      <c r="O16" s="5" t="s">
        <v>42</v>
      </c>
      <c r="P16" s="23">
        <v>44652.635879629626</v>
      </c>
      <c r="Q16" s="7"/>
      <c r="R16" s="32"/>
    </row>
    <row r="17" spans="1:19" ht="26.4">
      <c r="A17" s="31">
        <v>8</v>
      </c>
      <c r="B17" s="5" t="s">
        <v>59</v>
      </c>
      <c r="C17" s="5" t="s">
        <v>50</v>
      </c>
      <c r="D17" s="5" t="s">
        <v>8</v>
      </c>
      <c r="E17" s="5" t="s">
        <v>21</v>
      </c>
      <c r="F17" s="8"/>
      <c r="G17" s="6" t="s">
        <v>73</v>
      </c>
      <c r="H17" s="6"/>
      <c r="I17" s="6" t="s">
        <v>74</v>
      </c>
      <c r="J17" s="6" t="s">
        <v>71</v>
      </c>
      <c r="K17" s="6"/>
      <c r="L17" s="7"/>
      <c r="M17" s="7" t="s">
        <v>31</v>
      </c>
      <c r="N17" s="7" t="s">
        <v>40</v>
      </c>
      <c r="O17" s="5" t="s">
        <v>42</v>
      </c>
      <c r="P17" s="23">
        <v>44652.637557870374</v>
      </c>
      <c r="Q17" s="7"/>
      <c r="R17" s="32"/>
    </row>
    <row r="18" spans="1:19" ht="26.4">
      <c r="A18" s="31">
        <v>9</v>
      </c>
      <c r="B18" s="5" t="s">
        <v>59</v>
      </c>
      <c r="C18" s="5" t="s">
        <v>51</v>
      </c>
      <c r="D18" s="5" t="s">
        <v>12</v>
      </c>
      <c r="E18" s="5" t="s">
        <v>21</v>
      </c>
      <c r="F18" s="8"/>
      <c r="G18" s="6" t="s">
        <v>72</v>
      </c>
      <c r="H18" s="6"/>
      <c r="I18" s="6" t="s">
        <v>75</v>
      </c>
      <c r="J18" s="6" t="s">
        <v>68</v>
      </c>
      <c r="K18" s="6"/>
      <c r="L18" s="7"/>
      <c r="M18" s="7" t="s">
        <v>31</v>
      </c>
      <c r="N18" s="7" t="s">
        <v>40</v>
      </c>
      <c r="O18" s="5" t="s">
        <v>42</v>
      </c>
      <c r="P18" s="23">
        <v>44652.640439814815</v>
      </c>
      <c r="Q18" s="7"/>
      <c r="R18" s="32"/>
    </row>
    <row r="19" spans="1:19" ht="26.4">
      <c r="A19" s="31">
        <v>10</v>
      </c>
      <c r="B19" s="5" t="s">
        <v>59</v>
      </c>
      <c r="C19" s="5" t="s">
        <v>52</v>
      </c>
      <c r="D19" s="5" t="s">
        <v>8</v>
      </c>
      <c r="E19" s="5" t="s">
        <v>21</v>
      </c>
      <c r="F19" s="8"/>
      <c r="G19" s="6" t="s">
        <v>77</v>
      </c>
      <c r="H19" s="6"/>
      <c r="I19" s="6"/>
      <c r="J19" s="6" t="s">
        <v>76</v>
      </c>
      <c r="K19" s="6"/>
      <c r="L19" s="7"/>
      <c r="M19" s="7" t="s">
        <v>31</v>
      </c>
      <c r="N19" s="7" t="s">
        <v>40</v>
      </c>
      <c r="O19" s="5" t="s">
        <v>42</v>
      </c>
      <c r="P19" s="23">
        <v>44652.642233796294</v>
      </c>
      <c r="Q19" s="7"/>
      <c r="R19" s="32"/>
    </row>
    <row r="20" spans="1:19" ht="26.4">
      <c r="A20" s="31">
        <v>11</v>
      </c>
      <c r="B20" s="5" t="s">
        <v>59</v>
      </c>
      <c r="C20" s="5" t="s">
        <v>53</v>
      </c>
      <c r="D20" s="5" t="s">
        <v>8</v>
      </c>
      <c r="E20" s="5" t="s">
        <v>21</v>
      </c>
      <c r="F20" s="8"/>
      <c r="G20" s="6" t="s">
        <v>78</v>
      </c>
      <c r="H20" s="6"/>
      <c r="I20" s="6"/>
      <c r="J20" s="6" t="s">
        <v>79</v>
      </c>
      <c r="K20" s="6"/>
      <c r="L20" s="7"/>
      <c r="M20" s="7" t="s">
        <v>31</v>
      </c>
      <c r="N20" s="7" t="s">
        <v>40</v>
      </c>
      <c r="O20" s="5" t="s">
        <v>42</v>
      </c>
      <c r="P20" s="23">
        <v>44652.645729166667</v>
      </c>
      <c r="Q20" s="7"/>
      <c r="R20" s="32"/>
    </row>
    <row r="21" spans="1:19" ht="13.2">
      <c r="A21" s="31">
        <v>12</v>
      </c>
      <c r="B21" s="5" t="s">
        <v>59</v>
      </c>
      <c r="C21" s="5" t="s">
        <v>54</v>
      </c>
      <c r="D21" s="5" t="s">
        <v>8</v>
      </c>
      <c r="E21" s="5" t="s">
        <v>21</v>
      </c>
      <c r="F21" s="8"/>
      <c r="G21" s="6" t="s">
        <v>80</v>
      </c>
      <c r="H21" s="6"/>
      <c r="I21" s="6" t="s">
        <v>81</v>
      </c>
      <c r="J21" s="6" t="s">
        <v>82</v>
      </c>
      <c r="K21" s="6"/>
      <c r="L21" s="7"/>
      <c r="M21" s="7" t="s">
        <v>31</v>
      </c>
      <c r="N21" s="7" t="s">
        <v>40</v>
      </c>
      <c r="O21" s="5" t="s">
        <v>42</v>
      </c>
      <c r="P21" s="23">
        <v>44652.646736111114</v>
      </c>
      <c r="Q21" s="7"/>
      <c r="R21" s="32"/>
    </row>
    <row r="22" spans="1:19" ht="13.2">
      <c r="A22" s="31">
        <v>13</v>
      </c>
      <c r="B22" s="5" t="s">
        <v>59</v>
      </c>
      <c r="C22" s="5" t="s">
        <v>55</v>
      </c>
      <c r="D22" s="5" t="s">
        <v>8</v>
      </c>
      <c r="E22" s="5" t="s">
        <v>21</v>
      </c>
      <c r="F22" s="8"/>
      <c r="G22" s="6" t="s">
        <v>83</v>
      </c>
      <c r="H22" s="6"/>
      <c r="I22" s="6" t="s">
        <v>84</v>
      </c>
      <c r="J22" s="6" t="s">
        <v>85</v>
      </c>
      <c r="K22" s="6"/>
      <c r="L22" s="7"/>
      <c r="M22" s="7" t="s">
        <v>31</v>
      </c>
      <c r="N22" s="7" t="s">
        <v>40</v>
      </c>
      <c r="O22" s="5" t="s">
        <v>42</v>
      </c>
      <c r="P22" s="23">
        <v>44652.652592592596</v>
      </c>
      <c r="Q22" s="7"/>
      <c r="R22" s="32"/>
    </row>
    <row r="23" spans="1:19" ht="13.2">
      <c r="A23" s="31">
        <v>14</v>
      </c>
      <c r="B23" s="5" t="s">
        <v>59</v>
      </c>
      <c r="C23" s="5" t="s">
        <v>56</v>
      </c>
      <c r="D23" s="5" t="s">
        <v>8</v>
      </c>
      <c r="E23" s="5" t="s">
        <v>21</v>
      </c>
      <c r="F23" s="8"/>
      <c r="G23" s="6" t="s">
        <v>86</v>
      </c>
      <c r="H23" s="6"/>
      <c r="I23" s="6" t="s">
        <v>87</v>
      </c>
      <c r="J23" s="6" t="s">
        <v>88</v>
      </c>
      <c r="K23" s="6"/>
      <c r="L23" s="7"/>
      <c r="M23" s="7" t="s">
        <v>31</v>
      </c>
      <c r="N23" s="7" t="s">
        <v>40</v>
      </c>
      <c r="O23" s="5" t="s">
        <v>42</v>
      </c>
      <c r="P23" s="23">
        <v>44652.653055555558</v>
      </c>
      <c r="Q23" s="7"/>
      <c r="R23" s="32"/>
    </row>
    <row r="24" spans="1:19" ht="26.4">
      <c r="A24" s="31">
        <v>15</v>
      </c>
      <c r="B24" s="5" t="s">
        <v>59</v>
      </c>
      <c r="C24" s="5" t="s">
        <v>57</v>
      </c>
      <c r="D24" s="5" t="s">
        <v>8</v>
      </c>
      <c r="E24" s="5" t="s">
        <v>21</v>
      </c>
      <c r="F24" s="8"/>
      <c r="G24" s="6" t="s">
        <v>89</v>
      </c>
      <c r="H24" s="6"/>
      <c r="I24" s="6" t="s">
        <v>90</v>
      </c>
      <c r="J24" s="6" t="s">
        <v>91</v>
      </c>
      <c r="K24" s="6"/>
      <c r="L24" s="7"/>
      <c r="M24" s="7" t="s">
        <v>31</v>
      </c>
      <c r="N24" s="7" t="s">
        <v>40</v>
      </c>
      <c r="O24" s="5" t="s">
        <v>42</v>
      </c>
      <c r="P24" s="23">
        <v>44652.654131944444</v>
      </c>
      <c r="Q24" s="7"/>
      <c r="R24" s="32"/>
    </row>
    <row r="25" spans="1:19" ht="26.4">
      <c r="A25" s="31">
        <v>16</v>
      </c>
      <c r="B25" s="5" t="s">
        <v>59</v>
      </c>
      <c r="C25" s="5" t="s">
        <v>58</v>
      </c>
      <c r="D25" s="5" t="s">
        <v>8</v>
      </c>
      <c r="E25" s="5" t="s">
        <v>21</v>
      </c>
      <c r="F25" s="8"/>
      <c r="G25" s="6" t="s">
        <v>92</v>
      </c>
      <c r="H25" s="6"/>
      <c r="I25" s="6" t="s">
        <v>93</v>
      </c>
      <c r="J25" s="6" t="s">
        <v>95</v>
      </c>
      <c r="K25" s="6"/>
      <c r="L25" s="7"/>
      <c r="M25" s="7" t="s">
        <v>31</v>
      </c>
      <c r="N25" s="7" t="s">
        <v>40</v>
      </c>
      <c r="O25" s="5" t="s">
        <v>42</v>
      </c>
      <c r="P25" s="23">
        <v>44652.654918981483</v>
      </c>
      <c r="Q25" s="7"/>
      <c r="R25" s="32"/>
    </row>
    <row r="26" spans="1:19" ht="26.4">
      <c r="A26" s="31">
        <v>17</v>
      </c>
      <c r="B26" s="5" t="s">
        <v>59</v>
      </c>
      <c r="C26" s="5" t="s">
        <v>121</v>
      </c>
      <c r="D26" s="5" t="s">
        <v>8</v>
      </c>
      <c r="E26" s="5" t="s">
        <v>21</v>
      </c>
      <c r="F26" s="8"/>
      <c r="G26" s="6" t="s">
        <v>92</v>
      </c>
      <c r="H26" s="6"/>
      <c r="I26" s="6" t="s">
        <v>94</v>
      </c>
      <c r="J26" s="6" t="s">
        <v>96</v>
      </c>
      <c r="K26" s="6"/>
      <c r="L26" s="7"/>
      <c r="M26" s="7" t="s">
        <v>31</v>
      </c>
      <c r="N26" s="7" t="s">
        <v>40</v>
      </c>
      <c r="O26" s="5" t="s">
        <v>42</v>
      </c>
      <c r="P26" s="23">
        <v>44652.655324074076</v>
      </c>
      <c r="Q26" s="7"/>
      <c r="R26" s="32"/>
    </row>
    <row r="27" spans="1:19" ht="13.2">
      <c r="A27" s="31">
        <v>18</v>
      </c>
      <c r="B27" s="5" t="s">
        <v>59</v>
      </c>
      <c r="C27" s="5" t="s">
        <v>125</v>
      </c>
      <c r="D27" s="5" t="s">
        <v>8</v>
      </c>
      <c r="E27" s="5" t="s">
        <v>21</v>
      </c>
      <c r="F27" s="8"/>
      <c r="G27" s="6" t="s">
        <v>97</v>
      </c>
      <c r="H27" s="6"/>
      <c r="I27" s="6" t="s">
        <v>99</v>
      </c>
      <c r="J27" s="6" t="s">
        <v>100</v>
      </c>
      <c r="K27" s="6"/>
      <c r="L27" s="7"/>
      <c r="M27" s="7" t="s">
        <v>31</v>
      </c>
      <c r="N27" s="7" t="s">
        <v>40</v>
      </c>
      <c r="O27" s="5" t="s">
        <v>42</v>
      </c>
      <c r="P27" s="23">
        <v>44652.656006944446</v>
      </c>
      <c r="Q27" s="7"/>
      <c r="R27" s="32"/>
    </row>
    <row r="28" spans="1:19" ht="13.2">
      <c r="A28" s="31">
        <v>19</v>
      </c>
      <c r="B28" s="5" t="s">
        <v>59</v>
      </c>
      <c r="C28" s="5" t="s">
        <v>129</v>
      </c>
      <c r="D28" s="5" t="s">
        <v>8</v>
      </c>
      <c r="E28" s="5" t="s">
        <v>21</v>
      </c>
      <c r="F28" s="8"/>
      <c r="G28" s="6" t="s">
        <v>98</v>
      </c>
      <c r="H28" s="6"/>
      <c r="I28" s="6" t="s">
        <v>104</v>
      </c>
      <c r="J28" s="6" t="s">
        <v>101</v>
      </c>
      <c r="K28" s="6"/>
      <c r="L28" s="7"/>
      <c r="M28" s="7" t="s">
        <v>31</v>
      </c>
      <c r="N28" s="7" t="s">
        <v>40</v>
      </c>
      <c r="O28" s="5" t="s">
        <v>42</v>
      </c>
      <c r="P28" s="23">
        <v>44652.656134259261</v>
      </c>
      <c r="Q28" s="7"/>
      <c r="R28" s="32"/>
      <c r="S28" s="9"/>
    </row>
    <row r="29" spans="1:19" ht="26.4">
      <c r="A29" s="31">
        <v>20</v>
      </c>
      <c r="B29" s="5" t="s">
        <v>59</v>
      </c>
      <c r="C29" s="5" t="s">
        <v>131</v>
      </c>
      <c r="D29" s="5" t="s">
        <v>8</v>
      </c>
      <c r="E29" s="5" t="s">
        <v>21</v>
      </c>
      <c r="F29" s="8"/>
      <c r="G29" s="6" t="s">
        <v>102</v>
      </c>
      <c r="H29" s="6"/>
      <c r="I29" s="6" t="s">
        <v>105</v>
      </c>
      <c r="J29" s="6" t="s">
        <v>106</v>
      </c>
      <c r="K29" s="6"/>
      <c r="L29" s="7"/>
      <c r="M29" s="7" t="s">
        <v>31</v>
      </c>
      <c r="N29" s="7" t="s">
        <v>40</v>
      </c>
      <c r="O29" s="5" t="s">
        <v>42</v>
      </c>
      <c r="P29" s="23">
        <v>44652.657141203701</v>
      </c>
      <c r="Q29" s="7"/>
      <c r="R29" s="32"/>
    </row>
    <row r="30" spans="1:19" ht="26.4">
      <c r="A30" s="31">
        <v>21</v>
      </c>
      <c r="B30" s="5" t="s">
        <v>59</v>
      </c>
      <c r="C30" s="5" t="s">
        <v>143</v>
      </c>
      <c r="D30" s="5" t="s">
        <v>8</v>
      </c>
      <c r="E30" s="5" t="s">
        <v>21</v>
      </c>
      <c r="F30" s="8"/>
      <c r="G30" s="6" t="s">
        <v>103</v>
      </c>
      <c r="H30" s="6"/>
      <c r="I30" s="6" t="s">
        <v>112</v>
      </c>
      <c r="J30" s="6" t="s">
        <v>107</v>
      </c>
      <c r="K30" s="6"/>
      <c r="L30" s="7"/>
      <c r="M30" s="7" t="s">
        <v>31</v>
      </c>
      <c r="N30" s="7" t="s">
        <v>40</v>
      </c>
      <c r="O30" s="5" t="s">
        <v>42</v>
      </c>
      <c r="P30" s="23">
        <v>44652.657280092593</v>
      </c>
      <c r="Q30" s="7"/>
      <c r="R30" s="32"/>
    </row>
    <row r="31" spans="1:19" ht="13.2">
      <c r="A31" s="31">
        <v>22</v>
      </c>
      <c r="B31" s="5" t="s">
        <v>59</v>
      </c>
      <c r="C31" s="5" t="s">
        <v>151</v>
      </c>
      <c r="D31" s="5" t="s">
        <v>8</v>
      </c>
      <c r="E31" s="5" t="s">
        <v>21</v>
      </c>
      <c r="F31" s="8"/>
      <c r="G31" s="6" t="s">
        <v>108</v>
      </c>
      <c r="H31" s="6"/>
      <c r="I31" s="6" t="s">
        <v>110</v>
      </c>
      <c r="J31" s="6" t="s">
        <v>113</v>
      </c>
      <c r="K31" s="6"/>
      <c r="L31" s="7"/>
      <c r="M31" s="7" t="s">
        <v>31</v>
      </c>
      <c r="N31" s="7" t="s">
        <v>40</v>
      </c>
      <c r="O31" s="5" t="s">
        <v>42</v>
      </c>
      <c r="P31" s="23">
        <v>44652.658483796295</v>
      </c>
      <c r="Q31" s="7"/>
      <c r="R31" s="32"/>
    </row>
    <row r="32" spans="1:19" ht="26.4">
      <c r="A32" s="31">
        <v>23</v>
      </c>
      <c r="B32" s="5" t="s">
        <v>59</v>
      </c>
      <c r="C32" s="5" t="s">
        <v>152</v>
      </c>
      <c r="D32" s="5" t="s">
        <v>8</v>
      </c>
      <c r="E32" s="5" t="s">
        <v>21</v>
      </c>
      <c r="F32" s="8"/>
      <c r="G32" s="6" t="s">
        <v>109</v>
      </c>
      <c r="H32" s="6"/>
      <c r="I32" s="6" t="s">
        <v>111</v>
      </c>
      <c r="J32" s="6" t="s">
        <v>114</v>
      </c>
      <c r="K32" s="6"/>
      <c r="L32" s="7"/>
      <c r="M32" s="7" t="s">
        <v>31</v>
      </c>
      <c r="N32" s="7" t="s">
        <v>40</v>
      </c>
      <c r="O32" s="5" t="s">
        <v>42</v>
      </c>
      <c r="P32" s="23">
        <v>44652.658495370371</v>
      </c>
      <c r="Q32" s="7"/>
      <c r="R32" s="32"/>
    </row>
    <row r="33" spans="1:18" ht="13.2">
      <c r="A33" s="31">
        <v>24</v>
      </c>
      <c r="B33" s="5" t="s">
        <v>59</v>
      </c>
      <c r="C33" s="5" t="s">
        <v>153</v>
      </c>
      <c r="D33" s="5" t="s">
        <v>8</v>
      </c>
      <c r="E33" s="5" t="s">
        <v>21</v>
      </c>
      <c r="F33" s="8"/>
      <c r="G33" s="6" t="s">
        <v>115</v>
      </c>
      <c r="H33" s="6"/>
      <c r="I33" s="6" t="s">
        <v>117</v>
      </c>
      <c r="J33" s="6" t="s">
        <v>119</v>
      </c>
      <c r="K33" s="6"/>
      <c r="L33" s="7"/>
      <c r="M33" s="7" t="s">
        <v>31</v>
      </c>
      <c r="N33" s="7" t="s">
        <v>40</v>
      </c>
      <c r="O33" s="5" t="s">
        <v>42</v>
      </c>
      <c r="P33" s="23">
        <v>44652.659710648149</v>
      </c>
      <c r="Q33" s="7"/>
      <c r="R33" s="32"/>
    </row>
    <row r="34" spans="1:18" ht="13.2">
      <c r="A34" s="31">
        <v>25</v>
      </c>
      <c r="B34" s="5" t="s">
        <v>59</v>
      </c>
      <c r="C34" s="5" t="s">
        <v>154</v>
      </c>
      <c r="D34" s="5" t="s">
        <v>8</v>
      </c>
      <c r="E34" s="5" t="s">
        <v>21</v>
      </c>
      <c r="F34" s="8"/>
      <c r="G34" s="6" t="s">
        <v>116</v>
      </c>
      <c r="H34" s="6"/>
      <c r="I34" s="6" t="s">
        <v>118</v>
      </c>
      <c r="J34" s="6" t="s">
        <v>120</v>
      </c>
      <c r="K34" s="6"/>
      <c r="L34" s="7"/>
      <c r="M34" s="7" t="s">
        <v>31</v>
      </c>
      <c r="N34" s="7" t="s">
        <v>40</v>
      </c>
      <c r="O34" s="5" t="s">
        <v>42</v>
      </c>
      <c r="P34" s="23">
        <v>44652.65996527778</v>
      </c>
      <c r="Q34" s="7"/>
      <c r="R34" s="32"/>
    </row>
    <row r="35" spans="1:18" ht="26.4">
      <c r="A35" s="31">
        <v>26</v>
      </c>
      <c r="B35" s="5" t="s">
        <v>59</v>
      </c>
      <c r="C35" s="5" t="s">
        <v>155</v>
      </c>
      <c r="D35" s="5" t="s">
        <v>8</v>
      </c>
      <c r="E35" s="5" t="s">
        <v>21</v>
      </c>
      <c r="F35" s="8"/>
      <c r="G35" s="6" t="s">
        <v>126</v>
      </c>
      <c r="H35" s="6" t="s">
        <v>122</v>
      </c>
      <c r="I35" s="6" t="s">
        <v>123</v>
      </c>
      <c r="J35" s="6" t="s">
        <v>124</v>
      </c>
      <c r="K35" s="6"/>
      <c r="L35" s="7"/>
      <c r="M35" s="7" t="s">
        <v>31</v>
      </c>
      <c r="N35" s="7" t="s">
        <v>40</v>
      </c>
      <c r="O35" s="5" t="s">
        <v>42</v>
      </c>
      <c r="P35" s="23">
        <v>44652.660914351851</v>
      </c>
      <c r="Q35" s="7"/>
      <c r="R35" s="32"/>
    </row>
    <row r="36" spans="1:18" ht="66">
      <c r="A36" s="31">
        <v>27</v>
      </c>
      <c r="B36" s="5" t="s">
        <v>59</v>
      </c>
      <c r="C36" s="5" t="s">
        <v>156</v>
      </c>
      <c r="D36" s="5" t="s">
        <v>8</v>
      </c>
      <c r="E36" s="5" t="s">
        <v>21</v>
      </c>
      <c r="F36" s="8"/>
      <c r="G36" s="6" t="s">
        <v>127</v>
      </c>
      <c r="H36" s="6"/>
      <c r="I36" s="6"/>
      <c r="J36" s="6" t="s">
        <v>128</v>
      </c>
      <c r="K36" s="6"/>
      <c r="L36" s="7"/>
      <c r="M36" s="7" t="s">
        <v>31</v>
      </c>
      <c r="N36" s="7" t="s">
        <v>40</v>
      </c>
      <c r="O36" s="5" t="s">
        <v>42</v>
      </c>
      <c r="P36" s="23">
        <v>44652.662314814814</v>
      </c>
      <c r="Q36" s="7"/>
      <c r="R36" s="32"/>
    </row>
    <row r="37" spans="1:18" ht="39.6">
      <c r="A37" s="31">
        <v>28</v>
      </c>
      <c r="B37" s="5" t="s">
        <v>59</v>
      </c>
      <c r="C37" s="5" t="s">
        <v>157</v>
      </c>
      <c r="D37" s="5" t="s">
        <v>8</v>
      </c>
      <c r="E37" s="5" t="s">
        <v>21</v>
      </c>
      <c r="F37" s="8"/>
      <c r="G37" s="6" t="s">
        <v>130</v>
      </c>
      <c r="H37" s="6"/>
      <c r="I37" s="6"/>
      <c r="J37" s="6" t="s">
        <v>128</v>
      </c>
      <c r="K37" s="6"/>
      <c r="L37" s="7"/>
      <c r="M37" s="7" t="s">
        <v>31</v>
      </c>
      <c r="N37" s="7" t="s">
        <v>40</v>
      </c>
      <c r="O37" s="5" t="s">
        <v>42</v>
      </c>
      <c r="P37" s="23">
        <v>44652.664768518516</v>
      </c>
      <c r="Q37" s="7"/>
      <c r="R37" s="32"/>
    </row>
    <row r="38" spans="1:18" ht="66">
      <c r="A38" s="31">
        <v>29</v>
      </c>
      <c r="B38" s="5" t="s">
        <v>59</v>
      </c>
      <c r="C38" s="5" t="s">
        <v>158</v>
      </c>
      <c r="D38" s="5" t="s">
        <v>8</v>
      </c>
      <c r="E38" s="5" t="s">
        <v>21</v>
      </c>
      <c r="F38" s="8"/>
      <c r="G38" s="6" t="s">
        <v>132</v>
      </c>
      <c r="H38" s="6"/>
      <c r="I38" s="6"/>
      <c r="J38" s="6" t="s">
        <v>128</v>
      </c>
      <c r="K38" s="6"/>
      <c r="L38" s="7"/>
      <c r="M38" s="7" t="s">
        <v>31</v>
      </c>
      <c r="N38" s="7" t="s">
        <v>40</v>
      </c>
      <c r="O38" s="5" t="s">
        <v>42</v>
      </c>
      <c r="P38" s="23">
        <v>44652.665347222224</v>
      </c>
      <c r="Q38" s="7"/>
      <c r="R38" s="32"/>
    </row>
    <row r="39" spans="1:18" ht="66">
      <c r="A39" s="31">
        <v>30</v>
      </c>
      <c r="B39" s="5" t="s">
        <v>59</v>
      </c>
      <c r="C39" s="5" t="s">
        <v>159</v>
      </c>
      <c r="D39" s="5" t="s">
        <v>8</v>
      </c>
      <c r="E39" s="5" t="s">
        <v>21</v>
      </c>
      <c r="F39" s="8"/>
      <c r="G39" s="6" t="s">
        <v>140</v>
      </c>
      <c r="H39" s="6" t="s">
        <v>141</v>
      </c>
      <c r="I39" s="6" t="s">
        <v>61</v>
      </c>
      <c r="J39" s="6" t="s">
        <v>63</v>
      </c>
      <c r="K39" s="6"/>
      <c r="L39" s="7"/>
      <c r="M39" s="7" t="s">
        <v>31</v>
      </c>
      <c r="N39" s="7" t="s">
        <v>40</v>
      </c>
      <c r="O39" s="5" t="s">
        <v>42</v>
      </c>
      <c r="P39" s="23">
        <v>44652.680960648147</v>
      </c>
      <c r="Q39" s="7"/>
      <c r="R39" s="32"/>
    </row>
    <row r="40" spans="1:18" ht="39.6">
      <c r="A40" s="44">
        <f>A39+1</f>
        <v>31</v>
      </c>
      <c r="B40" s="45" t="s">
        <v>59</v>
      </c>
      <c r="C40" s="45" t="s">
        <v>160</v>
      </c>
      <c r="D40" s="45" t="s">
        <v>12</v>
      </c>
      <c r="E40" s="45" t="s">
        <v>21</v>
      </c>
      <c r="F40" s="46"/>
      <c r="G40" s="51" t="s">
        <v>147</v>
      </c>
      <c r="H40" s="47" t="s">
        <v>148</v>
      </c>
      <c r="I40" s="47" t="s">
        <v>149</v>
      </c>
      <c r="J40" s="47" t="s">
        <v>150</v>
      </c>
      <c r="K40" s="47"/>
      <c r="L40" s="48"/>
      <c r="M40" s="48" t="s">
        <v>31</v>
      </c>
      <c r="N40" s="48" t="s">
        <v>40</v>
      </c>
      <c r="O40" s="45" t="s">
        <v>42</v>
      </c>
      <c r="P40" s="23">
        <v>44654.624143518522</v>
      </c>
      <c r="Q40" s="48"/>
      <c r="R40" s="50"/>
    </row>
    <row r="41" spans="1:18" ht="39.6">
      <c r="A41" s="31">
        <v>32</v>
      </c>
      <c r="B41" s="5" t="s">
        <v>59</v>
      </c>
      <c r="C41" s="5" t="s">
        <v>161</v>
      </c>
      <c r="D41" s="5" t="s">
        <v>12</v>
      </c>
      <c r="E41" s="5" t="s">
        <v>21</v>
      </c>
      <c r="F41" s="43"/>
      <c r="G41" s="52" t="s">
        <v>162</v>
      </c>
      <c r="H41" s="6" t="s">
        <v>176</v>
      </c>
      <c r="I41" s="6" t="s">
        <v>163</v>
      </c>
      <c r="J41" s="6" t="s">
        <v>164</v>
      </c>
      <c r="K41" s="6"/>
      <c r="L41" s="7"/>
      <c r="M41" s="7" t="s">
        <v>31</v>
      </c>
      <c r="N41" s="7" t="s">
        <v>40</v>
      </c>
      <c r="O41" s="5" t="s">
        <v>42</v>
      </c>
      <c r="P41" s="23">
        <v>44654.624143518522</v>
      </c>
      <c r="Q41" s="7"/>
      <c r="R41" s="32"/>
    </row>
    <row r="42" spans="1:18" ht="52.8">
      <c r="A42" s="31">
        <v>33</v>
      </c>
      <c r="B42" s="5" t="s">
        <v>59</v>
      </c>
      <c r="C42" s="5" t="s">
        <v>165</v>
      </c>
      <c r="D42" s="5" t="s">
        <v>12</v>
      </c>
      <c r="E42" s="5" t="s">
        <v>21</v>
      </c>
      <c r="F42" s="43"/>
      <c r="G42" s="52" t="s">
        <v>166</v>
      </c>
      <c r="H42" s="6" t="s">
        <v>177</v>
      </c>
      <c r="I42" s="6" t="s">
        <v>167</v>
      </c>
      <c r="J42" s="6" t="s">
        <v>164</v>
      </c>
      <c r="K42" s="6"/>
      <c r="L42" s="7"/>
      <c r="M42" s="7" t="s">
        <v>31</v>
      </c>
      <c r="N42" s="7" t="s">
        <v>40</v>
      </c>
      <c r="O42" s="5" t="s">
        <v>42</v>
      </c>
      <c r="P42" s="23">
        <v>44654.626064814816</v>
      </c>
      <c r="Q42" s="7"/>
      <c r="R42" s="32"/>
    </row>
    <row r="43" spans="1:18" ht="52.8">
      <c r="A43" s="31">
        <v>34</v>
      </c>
      <c r="B43" s="5" t="s">
        <v>59</v>
      </c>
      <c r="C43" s="5" t="s">
        <v>168</v>
      </c>
      <c r="D43" s="5" t="s">
        <v>12</v>
      </c>
      <c r="E43" s="5" t="s">
        <v>21</v>
      </c>
      <c r="F43" s="43"/>
      <c r="G43" s="6" t="s">
        <v>173</v>
      </c>
      <c r="H43" s="6" t="s">
        <v>178</v>
      </c>
      <c r="I43" s="6" t="s">
        <v>169</v>
      </c>
      <c r="J43" s="6" t="s">
        <v>164</v>
      </c>
      <c r="K43" s="6"/>
      <c r="L43" s="7"/>
      <c r="M43" s="7" t="s">
        <v>31</v>
      </c>
      <c r="N43" s="7" t="s">
        <v>40</v>
      </c>
      <c r="O43" s="5" t="s">
        <v>42</v>
      </c>
      <c r="P43" s="23">
        <v>44654.627337962964</v>
      </c>
      <c r="Q43" s="7"/>
      <c r="R43" s="32"/>
    </row>
    <row r="44" spans="1:18" ht="52.8">
      <c r="A44" s="31">
        <v>35</v>
      </c>
      <c r="B44" s="5" t="s">
        <v>59</v>
      </c>
      <c r="C44" s="5" t="s">
        <v>170</v>
      </c>
      <c r="D44" s="5" t="s">
        <v>12</v>
      </c>
      <c r="E44" s="5" t="s">
        <v>21</v>
      </c>
      <c r="F44" s="43"/>
      <c r="G44" s="6" t="s">
        <v>174</v>
      </c>
      <c r="H44" s="6" t="s">
        <v>179</v>
      </c>
      <c r="I44" s="6" t="s">
        <v>171</v>
      </c>
      <c r="J44" s="6" t="s">
        <v>164</v>
      </c>
      <c r="K44" s="6"/>
      <c r="L44" s="7"/>
      <c r="M44" s="7"/>
      <c r="N44" s="7"/>
      <c r="O44" s="5"/>
      <c r="P44" s="23">
        <v>44654.628634259258</v>
      </c>
      <c r="Q44" s="7"/>
      <c r="R44" s="32"/>
    </row>
    <row r="45" spans="1:18" ht="66">
      <c r="A45" s="31">
        <v>36</v>
      </c>
      <c r="B45" s="5" t="s">
        <v>59</v>
      </c>
      <c r="C45" s="5" t="s">
        <v>172</v>
      </c>
      <c r="D45" s="5" t="s">
        <v>12</v>
      </c>
      <c r="E45" s="5" t="s">
        <v>21</v>
      </c>
      <c r="F45" s="43"/>
      <c r="G45" s="6" t="s">
        <v>175</v>
      </c>
      <c r="H45" s="6" t="s">
        <v>180</v>
      </c>
      <c r="I45" s="6" t="s">
        <v>61</v>
      </c>
      <c r="J45" s="6" t="s">
        <v>63</v>
      </c>
      <c r="K45" s="6"/>
      <c r="L45" s="7"/>
      <c r="M45" s="7"/>
      <c r="N45" s="7"/>
      <c r="O45" s="5"/>
      <c r="P45" s="23">
        <v>44654.629664351851</v>
      </c>
      <c r="Q45" s="7"/>
      <c r="R45" s="32"/>
    </row>
    <row r="46" spans="1:18" ht="66">
      <c r="A46" s="44">
        <f>A45+1</f>
        <v>37</v>
      </c>
      <c r="B46" s="45" t="s">
        <v>59</v>
      </c>
      <c r="C46" s="45" t="s">
        <v>181</v>
      </c>
      <c r="D46" s="45" t="s">
        <v>12</v>
      </c>
      <c r="E46" s="45" t="s">
        <v>21</v>
      </c>
      <c r="F46" s="46"/>
      <c r="G46" s="47" t="s">
        <v>182</v>
      </c>
      <c r="H46" s="47" t="s">
        <v>183</v>
      </c>
      <c r="I46" s="47" t="s">
        <v>61</v>
      </c>
      <c r="J46" s="47" t="s">
        <v>63</v>
      </c>
      <c r="K46" s="47"/>
      <c r="L46" s="48"/>
      <c r="M46" s="48"/>
      <c r="N46" s="48"/>
      <c r="O46" s="45"/>
      <c r="P46" s="49"/>
      <c r="Q46" s="48"/>
      <c r="R46" s="50"/>
    </row>
    <row r="47" spans="1:18" ht="66">
      <c r="A47" s="31">
        <v>38</v>
      </c>
      <c r="B47" s="5" t="s">
        <v>59</v>
      </c>
      <c r="C47" s="5" t="s">
        <v>184</v>
      </c>
      <c r="D47" s="5" t="s">
        <v>12</v>
      </c>
      <c r="E47" s="5" t="s">
        <v>21</v>
      </c>
      <c r="F47" s="43"/>
      <c r="G47" s="6" t="s">
        <v>185</v>
      </c>
      <c r="H47" s="6" t="s">
        <v>186</v>
      </c>
      <c r="I47" s="6" t="s">
        <v>61</v>
      </c>
      <c r="J47" s="6" t="s">
        <v>63</v>
      </c>
      <c r="K47" s="6"/>
      <c r="L47" s="7"/>
      <c r="M47" s="7"/>
      <c r="N47" s="7"/>
      <c r="O47" s="5"/>
      <c r="P47" s="23">
        <v>44654.63821759259</v>
      </c>
      <c r="Q47" s="7"/>
      <c r="R47" s="32"/>
    </row>
    <row r="48" spans="1:18" ht="79.2">
      <c r="A48" s="31">
        <v>39</v>
      </c>
      <c r="B48" s="5" t="s">
        <v>59</v>
      </c>
      <c r="C48" s="5" t="s">
        <v>187</v>
      </c>
      <c r="D48" s="5" t="s">
        <v>12</v>
      </c>
      <c r="E48" s="5" t="s">
        <v>21</v>
      </c>
      <c r="F48" s="43"/>
      <c r="G48" s="6" t="s">
        <v>188</v>
      </c>
      <c r="H48" s="6" t="s">
        <v>189</v>
      </c>
      <c r="I48" s="6" t="s">
        <v>61</v>
      </c>
      <c r="J48" s="6" t="s">
        <v>63</v>
      </c>
      <c r="K48" s="6"/>
      <c r="L48" s="7"/>
      <c r="M48" s="7"/>
      <c r="N48" s="7"/>
      <c r="O48" s="5"/>
      <c r="P48" s="23">
        <v>44654.640300925923</v>
      </c>
      <c r="Q48" s="7"/>
      <c r="R48" s="32"/>
    </row>
    <row r="49" spans="1:18" ht="15" customHeight="1">
      <c r="A49" s="31">
        <v>40</v>
      </c>
      <c r="B49" s="5" t="s">
        <v>59</v>
      </c>
      <c r="C49" s="5" t="s">
        <v>190</v>
      </c>
      <c r="D49" s="5" t="s">
        <v>8</v>
      </c>
      <c r="E49" s="5" t="s">
        <v>21</v>
      </c>
      <c r="F49" s="43"/>
      <c r="G49" s="6" t="s">
        <v>191</v>
      </c>
      <c r="H49" s="6"/>
      <c r="I49" s="6" t="s">
        <v>192</v>
      </c>
      <c r="J49" s="6" t="s">
        <v>193</v>
      </c>
      <c r="K49" s="6"/>
      <c r="L49" s="7"/>
      <c r="M49" s="7"/>
      <c r="N49" s="7"/>
      <c r="O49" s="5"/>
      <c r="P49" s="23">
        <v>44654.6409375</v>
      </c>
      <c r="Q49" s="7"/>
      <c r="R49" s="32"/>
    </row>
    <row r="50" spans="1:18" ht="15" customHeight="1">
      <c r="E50" s="22"/>
      <c r="H50" s="20"/>
    </row>
    <row r="51" spans="1:18" ht="15" customHeight="1">
      <c r="D51" s="22"/>
      <c r="E51" s="22"/>
      <c r="R51" s="21"/>
    </row>
    <row r="52" spans="1:18" ht="15" customHeight="1">
      <c r="B52" s="39" t="s">
        <v>10</v>
      </c>
      <c r="C52" s="39" t="s">
        <v>23</v>
      </c>
    </row>
    <row r="53" spans="1:18" ht="15" customHeight="1">
      <c r="B53" s="40" t="str" cm="1">
        <f t="array" ref="B53:C56">Dashboard!H34:I37</f>
        <v>Passed</v>
      </c>
      <c r="C53" s="40">
        <v>0</v>
      </c>
      <c r="H53" s="20"/>
    </row>
    <row r="54" spans="1:18" ht="15" customHeight="1">
      <c r="B54" s="40" t="str">
        <v>Failed</v>
      </c>
      <c r="C54" s="40">
        <v>0</v>
      </c>
    </row>
    <row r="55" spans="1:18" ht="15" customHeight="1">
      <c r="B55" s="40" t="str">
        <v>Not Executed</v>
      </c>
      <c r="C55" s="40">
        <v>0</v>
      </c>
    </row>
    <row r="56" spans="1:18" ht="15" customHeight="1">
      <c r="B56" s="40" t="str">
        <v>Not Ready</v>
      </c>
      <c r="C56" s="40">
        <v>40</v>
      </c>
    </row>
    <row r="57" spans="1:18" ht="15" customHeight="1">
      <c r="B57" s="41" t="s">
        <v>35</v>
      </c>
      <c r="C57" s="41">
        <f>SUM(C53:C56)</f>
        <v>40</v>
      </c>
    </row>
  </sheetData>
  <mergeCells count="4">
    <mergeCell ref="C5:D5"/>
    <mergeCell ref="C3:D3"/>
    <mergeCell ref="C4:D4"/>
    <mergeCell ref="C6:D6"/>
  </mergeCells>
  <dataValidations count="5">
    <dataValidation type="list" allowBlank="1" showInputMessage="1" showErrorMessage="1" sqref="D10:D49" xr:uid="{00000000-0002-0000-0000-000001000000}">
      <formula1>typeTestList</formula1>
    </dataValidation>
    <dataValidation type="list" allowBlank="1" showInputMessage="1" showErrorMessage="1" sqref="B10:B49" xr:uid="{00000000-0002-0000-0000-000000000000}">
      <formula1>pageList</formula1>
    </dataValidation>
    <dataValidation type="list" allowBlank="1" showInputMessage="1" showErrorMessage="1" sqref="E10:E49" xr:uid="{AB3C7D48-6248-BF44-BC67-9601FA3FEF51}">
      <formula1>statusList</formula1>
    </dataValidation>
    <dataValidation type="list" allowBlank="1" showInputMessage="1" showErrorMessage="1" sqref="M10:M49" xr:uid="{B8EBAFA2-42E0-C149-B2F2-1BAED273F9DD}">
      <formula1>priorityList</formula1>
    </dataValidation>
    <dataValidation type="list" allowBlank="1" showInputMessage="1" showErrorMessage="1" sqref="N10:O49 Q10:Q49" xr:uid="{797079AC-8B14-9B4A-BC48-F63FF901A58C}">
      <formula1>picList</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33" r:id="rId4" name="Button 9">
              <controlPr defaultSize="0" print="0" autoFill="0" autoPict="0" macro="[0]!ButtonAddTestCase_Click">
                <anchor moveWithCells="1" sizeWithCells="1">
                  <from>
                    <xdr:col>0</xdr:col>
                    <xdr:colOff>76200</xdr:colOff>
                    <xdr:row>6</xdr:row>
                    <xdr:rowOff>0</xdr:rowOff>
                  </from>
                  <to>
                    <xdr:col>1</xdr:col>
                    <xdr:colOff>853440</xdr:colOff>
                    <xdr:row>6</xdr:row>
                    <xdr:rowOff>190500</xdr:rowOff>
                  </to>
                </anchor>
              </controlPr>
            </control>
          </mc:Choice>
        </mc:AlternateContent>
        <mc:AlternateContent xmlns:mc="http://schemas.openxmlformats.org/markup-compatibility/2006">
          <mc:Choice Requires="x14">
            <control shapeId="1055" r:id="rId5" name="Button 31">
              <controlPr defaultSize="0" print="0" autoFill="0" autoPict="0" macro="[0]!ButtonDeleteTestCase_Click">
                <anchor moveWithCells="1" sizeWithCells="1">
                  <from>
                    <xdr:col>1</xdr:col>
                    <xdr:colOff>929640</xdr:colOff>
                    <xdr:row>6</xdr:row>
                    <xdr:rowOff>0</xdr:rowOff>
                  </from>
                  <to>
                    <xdr:col>1</xdr:col>
                    <xdr:colOff>2156460</xdr:colOff>
                    <xdr:row>6</xdr:row>
                    <xdr:rowOff>190500</xdr:rowOff>
                  </to>
                </anchor>
              </controlPr>
            </control>
          </mc:Choice>
        </mc:AlternateContent>
      </controls>
    </mc:Choice>
  </mc:AlternateContent>
  <tableParts count="1">
    <tablePart r:id="rId6"/>
  </tableParts>
  <extLst>
    <ext xmlns:x14="http://schemas.microsoft.com/office/spreadsheetml/2009/9/main" uri="{78C0D931-6437-407d-A8EE-F0AAD7539E65}">
      <x14:conditionalFormattings>
        <x14:conditionalFormatting xmlns:xm="http://schemas.microsoft.com/office/excel/2006/main">
          <x14:cfRule type="expression" priority="10" id="{D74F88F4-B181-1546-B3FC-BD6ADD742F1D}">
            <xm:f>$E10=Dashboard!$H$37</xm:f>
            <x14:dxf>
              <font>
                <color theme="2" tint="-0.89996032593768116"/>
              </font>
              <fill>
                <patternFill>
                  <fgColor auto="1"/>
                  <bgColor theme="3" tint="0.79998168889431442"/>
                </patternFill>
              </fill>
            </x14:dxf>
          </x14:cfRule>
          <x14:cfRule type="expression" priority="11" id="{264D5D4A-A35F-4946-813E-408A03274DAD}">
            <xm:f>$E10=Dashboard!$H$36</xm:f>
            <x14:dxf>
              <font>
                <color theme="2" tint="-0.89996032593768116"/>
              </font>
              <fill>
                <patternFill>
                  <fgColor auto="1"/>
                  <bgColor theme="0" tint="-4.9989318521683403E-2"/>
                </patternFill>
              </fill>
            </x14:dxf>
          </x14:cfRule>
          <x14:cfRule type="expression" priority="12" id="{9D6610C4-829E-40B1-9539-3F8D2270CBC0}">
            <xm:f>$E10=Dashboard!$H$35</xm:f>
            <x14:dxf>
              <font>
                <color theme="1"/>
              </font>
              <fill>
                <patternFill>
                  <bgColor theme="5" tint="0.79998168889431442"/>
                </patternFill>
              </fill>
            </x14:dxf>
          </x14:cfRule>
          <x14:cfRule type="expression" priority="13" id="{CE8CA732-719E-45E0-9A53-A6031CBE476B}">
            <xm:f>$E10=Dashboard!$H$34</xm:f>
            <x14:dxf>
              <font>
                <color theme="1"/>
              </font>
              <fill>
                <patternFill>
                  <bgColor theme="9" tint="0.79998168889431442"/>
                </patternFill>
              </fill>
            </x14:dxf>
          </x14:cfRule>
          <xm:sqref>A10:E49 G10:R49</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2"/>
  <sheetViews>
    <sheetView showGridLines="0" workbookViewId="0">
      <selection activeCell="G2" sqref="G2"/>
    </sheetView>
  </sheetViews>
  <sheetFormatPr defaultColWidth="8.796875" defaultRowHeight="15.6"/>
  <cols>
    <col min="1" max="1" width="57.796875" customWidth="1"/>
  </cols>
  <sheetData>
    <row r="1" spans="1:1">
      <c r="A1" s="2" t="s">
        <v>13</v>
      </c>
    </row>
    <row r="2" spans="1:1" ht="265.2">
      <c r="A2" s="1" t="s">
        <v>14</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6</vt:i4>
      </vt:variant>
    </vt:vector>
  </HeadingPairs>
  <TitlesOfParts>
    <vt:vector size="9" baseType="lpstr">
      <vt:lpstr>Dashboard</vt:lpstr>
      <vt:lpstr>Test Case</vt:lpstr>
      <vt:lpstr>MACRO</vt:lpstr>
      <vt:lpstr>list_test_case</vt:lpstr>
      <vt:lpstr>pageList</vt:lpstr>
      <vt:lpstr>picList</vt:lpstr>
      <vt:lpstr>priorityList</vt:lpstr>
      <vt:lpstr>statusList</vt:lpstr>
      <vt:lpstr>typeTestList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Template Test Case - ProjectName</dc:title>
  <dc:subject/>
  <dc:creator>Ade Aditya</dc:creator>
  <cp:keywords/>
  <dc:description/>
  <cp:lastModifiedBy>ahmad sauki</cp:lastModifiedBy>
  <cp:revision/>
  <dcterms:created xsi:type="dcterms:W3CDTF">2021-09-10T01:15:16Z</dcterms:created>
  <dcterms:modified xsi:type="dcterms:W3CDTF">2022-04-03T08:33:00Z</dcterms:modified>
  <cp:category/>
  <cp:contentStatus/>
</cp:coreProperties>
</file>